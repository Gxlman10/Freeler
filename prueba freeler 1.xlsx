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DCE67F8-0BBF-4A1D-8AA2-CABF1F258B70}" xr6:coauthVersionLast="47" xr6:coauthVersionMax="47" xr10:uidLastSave="{00000000-0000-0000-0000-000000000000}"/>
  <bookViews>
    <workbookView xWindow="-120" yWindow="-120" windowWidth="20730" windowHeight="11310" xr2:uid="{735ED429-5507-4420-8BD0-71FCB16E86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</calcChain>
</file>

<file path=xl/sharedStrings.xml><?xml version="1.0" encoding="utf-8"?>
<sst xmlns="http://schemas.openxmlformats.org/spreadsheetml/2006/main" count="166" uniqueCount="106">
  <si>
    <t>MITCHELL</t>
  </si>
  <si>
    <t/>
  </si>
  <si>
    <t>El próximo año</t>
  </si>
  <si>
    <t>Trujillo</t>
  </si>
  <si>
    <t>+51914337249</t>
  </si>
  <si>
    <t>raphaela23052012.s@gmail.com</t>
  </si>
  <si>
    <t>Laura Peña</t>
  </si>
  <si>
    <t>11/13/2024 2:53pm</t>
  </si>
  <si>
    <t>Lo mas pronto</t>
  </si>
  <si>
    <t>+51939500361</t>
  </si>
  <si>
    <t>gomezzavaletaleydi@gmail.com</t>
  </si>
  <si>
    <t>Leydi Gomez Zavaleta</t>
  </si>
  <si>
    <t>11/13/2024 3:17pm</t>
  </si>
  <si>
    <t>Cusco</t>
  </si>
  <si>
    <t>+51906531733</t>
  </si>
  <si>
    <t>patricia.del.carmen.0812@gmail.com</t>
  </si>
  <si>
    <t>Patricia del Carmen Concha Enriquez</t>
  </si>
  <si>
    <t>11/13/2024 3:23pm</t>
  </si>
  <si>
    <t>LITO</t>
  </si>
  <si>
    <t>Piura</t>
  </si>
  <si>
    <t>+51964980042</t>
  </si>
  <si>
    <t>carlosenriqueKA258@gmail.com</t>
  </si>
  <si>
    <t>Carlos Enrique Huaches Diaz</t>
  </si>
  <si>
    <t>11/13/2024 3:51am</t>
  </si>
  <si>
    <t>Pacasmayo Perú</t>
  </si>
  <si>
    <t>+51972804030</t>
  </si>
  <si>
    <t>proflaal@gmail.com</t>
  </si>
  <si>
    <t>luis Alberto Angulo León</t>
  </si>
  <si>
    <t>11/13/2024 4:00pm</t>
  </si>
  <si>
    <t>Directo a Whatsapp</t>
  </si>
  <si>
    <t>+51930467626</t>
  </si>
  <si>
    <t>emerqv1@gmail.com</t>
  </si>
  <si>
    <t>Emerson Quiroz Vasquez</t>
  </si>
  <si>
    <t>11/13/2024 4:09pm</t>
  </si>
  <si>
    <t>Para diciembre de este año</t>
  </si>
  <si>
    <t>Pisco</t>
  </si>
  <si>
    <t>+51920839389</t>
  </si>
  <si>
    <t>angela_geminis@hotmail.com</t>
  </si>
  <si>
    <t>Celia Angelita Guarniz Alva</t>
  </si>
  <si>
    <t>11/13/2024 4:23pm</t>
  </si>
  <si>
    <t>+51965233820</t>
  </si>
  <si>
    <t>is.28ba@gmail.com</t>
  </si>
  <si>
    <t>Valentina Aponte</t>
  </si>
  <si>
    <t>11/13/2024 4:33am</t>
  </si>
  <si>
    <t>+51964417895</t>
  </si>
  <si>
    <t>cassie03mp@gmail.com</t>
  </si>
  <si>
    <t>Vanesa P Blas</t>
  </si>
  <si>
    <t>11/13/2024 5:11am</t>
  </si>
  <si>
    <t>+51932927053</t>
  </si>
  <si>
    <t>bren.zum@gmail.com</t>
  </si>
  <si>
    <t>Brenda Zumaran</t>
  </si>
  <si>
    <t>11/13/2024 6:42am</t>
  </si>
  <si>
    <t>+51966474149</t>
  </si>
  <si>
    <t>ivon.armas24@gmail.com</t>
  </si>
  <si>
    <t>Ivonn Armas</t>
  </si>
  <si>
    <t>11/13/2024 7:26pm</t>
  </si>
  <si>
    <t>+51932171227</t>
  </si>
  <si>
    <t>leyde2011ley@gmail.com</t>
  </si>
  <si>
    <t>Leyde Leyva Orrillo</t>
  </si>
  <si>
    <t>11/13/2024 9:29pm</t>
  </si>
  <si>
    <t>+51979386153</t>
  </si>
  <si>
    <t>leonardoch9523@gmail.com</t>
  </si>
  <si>
    <t>Leonardo Chávez Gaona</t>
  </si>
  <si>
    <t>11/13/2024 9:50am</t>
  </si>
  <si>
    <t>Huamachuco</t>
  </si>
  <si>
    <t>+51936815314</t>
  </si>
  <si>
    <t>ogajaime@hotmail.com</t>
  </si>
  <si>
    <t>oscar jayme garcia agreda</t>
  </si>
  <si>
    <t>11/14/2024 12:39am</t>
  </si>
  <si>
    <t>+51928279569</t>
  </si>
  <si>
    <t>vivian_s95@hotmail.com</t>
  </si>
  <si>
    <t>Rosvi Siccha Campos</t>
  </si>
  <si>
    <t>11/14/2024 3:54am</t>
  </si>
  <si>
    <t>+51948207338</t>
  </si>
  <si>
    <t>marcia2795@hotmail.com</t>
  </si>
  <si>
    <t>Marcia Andrade</t>
  </si>
  <si>
    <t>11/14/2024 4:08am</t>
  </si>
  <si>
    <t>+51958546390</t>
  </si>
  <si>
    <t>agredajulio01@hotmail.com</t>
  </si>
  <si>
    <t>Julio Ernesto Agreda Rebaza</t>
  </si>
  <si>
    <t>11/14/2024 4:58am</t>
  </si>
  <si>
    <t>+51989156994</t>
  </si>
  <si>
    <t>monica_mirandasato@hotmail.com</t>
  </si>
  <si>
    <t>Monica Miranda Sato</t>
  </si>
  <si>
    <t>11/14/2024 6:06am</t>
  </si>
  <si>
    <t>+51990419071</t>
  </si>
  <si>
    <t>estuardo91_17@hotmail.com</t>
  </si>
  <si>
    <t>Kevin Estwar Dongo Plasencia</t>
  </si>
  <si>
    <t>11/14/2024 6:54am</t>
  </si>
  <si>
    <t>VENDEDOR</t>
  </si>
  <si>
    <t>Banco</t>
  </si>
  <si>
    <t>Score</t>
  </si>
  <si>
    <t>Meses</t>
  </si>
  <si>
    <t>%</t>
  </si>
  <si>
    <t>situacion</t>
  </si>
  <si>
    <t>Para cuando??</t>
  </si>
  <si>
    <t>Celular</t>
  </si>
  <si>
    <t>Telefono</t>
  </si>
  <si>
    <t>Apellidos</t>
  </si>
  <si>
    <t>Nombre</t>
  </si>
  <si>
    <t>FECHA</t>
  </si>
  <si>
    <t>DNI</t>
  </si>
  <si>
    <t>Email</t>
  </si>
  <si>
    <t>Ciudad</t>
  </si>
  <si>
    <t>Descripcion</t>
  </si>
  <si>
    <t>Ocupacion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</si>
</sst>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Verdana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49" fontId="0" fillId="2" borderId="1" xfId="0" applyNumberFormat="1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right"/>
    </xf>
    <xf numFmtId="164" fontId="0" fillId="2" borderId="1" xfId="0" applyNumberFormat="1" applyFill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/>
    <xf numFmtId="49" fontId="0" fillId="0" borderId="1" xfId="0" applyNumberForma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164" fontId="0" fillId="0" borderId="1" xfId="0" applyNumberFormat="1" applyBorder="1"/>
    <xf numFmtId="49" fontId="3" fillId="2" borderId="1" xfId="0" applyNumberFormat="1" applyFont="1" applyFill="1" applyBorder="1" applyAlignment="1">
      <alignment horizontal="right"/>
    </xf>
    <xf numFmtId="49" fontId="3" fillId="0" borderId="1" xfId="0" applyNumberFormat="1" applyFont="1" applyBorder="1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50D9F-3CC8-4CD8-8653-E07ED7FB65EF}">
  <dimension ref="A1:Q20"/>
  <sheetViews>
    <sheetView tabSelected="1" topLeftCell="D1" workbookViewId="0">
      <selection activeCell="L5" sqref="L5"/>
    </sheetView>
  </sheetViews>
  <sheetFormatPr baseColWidth="10" defaultRowHeight="15" x14ac:dyDescent="0.25"/>
  <cols>
    <col min="1" max="1" width="18.42578125" bestFit="1" customWidth="1"/>
    <col min="2" max="2" width="34" bestFit="1" customWidth="1"/>
    <col min="6" max="6" width="9" bestFit="1" customWidth="1"/>
    <col min="9" max="9" width="25.140625" bestFit="1" customWidth="1"/>
  </cols>
  <sheetData>
    <row r="1" spans="1:17" x14ac:dyDescent="0.25">
      <c r="A1" s="16" t="s">
        <v>100</v>
      </c>
      <c r="B1" s="16" t="s">
        <v>99</v>
      </c>
      <c r="C1" s="16" t="s">
        <v>98</v>
      </c>
      <c r="D1" s="16" t="s">
        <v>101</v>
      </c>
      <c r="E1" s="16" t="s">
        <v>102</v>
      </c>
      <c r="F1" s="16" t="s">
        <v>97</v>
      </c>
      <c r="G1" s="18" t="s">
        <v>96</v>
      </c>
      <c r="H1" s="16" t="s">
        <v>103</v>
      </c>
      <c r="I1" s="16" t="s">
        <v>95</v>
      </c>
      <c r="J1" s="16" t="s">
        <v>105</v>
      </c>
      <c r="K1" s="16" t="s">
        <v>94</v>
      </c>
      <c r="L1" s="16" t="s">
        <v>93</v>
      </c>
      <c r="M1" s="16" t="s">
        <v>92</v>
      </c>
      <c r="N1" s="16" t="s">
        <v>91</v>
      </c>
      <c r="O1" s="16" t="s">
        <v>90</v>
      </c>
      <c r="P1" s="17" t="s">
        <v>104</v>
      </c>
      <c r="Q1" s="16" t="s">
        <v>89</v>
      </c>
    </row>
    <row r="2" spans="1:17" x14ac:dyDescent="0.25">
      <c r="A2" s="6" t="s">
        <v>88</v>
      </c>
      <c r="B2" s="2" t="s">
        <v>87</v>
      </c>
      <c r="C2" s="3"/>
      <c r="D2" s="5">
        <v>70773722</v>
      </c>
      <c r="E2" s="2" t="s">
        <v>86</v>
      </c>
      <c r="F2" s="3"/>
      <c r="G2" s="13" t="s">
        <v>85</v>
      </c>
      <c r="H2" s="2" t="s">
        <v>3</v>
      </c>
      <c r="I2" s="3" t="s">
        <v>34</v>
      </c>
      <c r="J2" s="3"/>
      <c r="K2" s="3"/>
      <c r="L2" s="3"/>
      <c r="M2" s="3" t="s">
        <v>1</v>
      </c>
      <c r="N2" s="3"/>
      <c r="O2" s="3"/>
      <c r="P2" s="2" t="str">
        <f t="shared" ref="P2:P20" si="0">_xlfn.CONCAT(I2,CHAR(10),
       IF(AND(K2&lt;&gt;"", L2&lt;&gt;""),
          "Situación: " &amp; K2 &amp; CHAR(10) &amp; "Calificación: " &amp; L2 &amp; "%" &amp; CHAR(10),
          IF(K2&lt;&gt;"",
             "Situación: " &amp; K2 &amp; CHAR(10),
             IF(L2&lt;&gt;"",
                "Calificación: " &amp; L2 &amp; "%" &amp; CHAR(10),
                CHAR(10)))),
       "Meses: ", M2, CHAR(10),
       "Score: ", N2, CHAR(10),
       "Banco: ", O2
)</f>
        <v xml:space="preserve">Para diciembre de este año
Meses: 
Score: 
Banco: </v>
      </c>
      <c r="Q2" s="15" t="s">
        <v>18</v>
      </c>
    </row>
    <row r="3" spans="1:17" x14ac:dyDescent="0.25">
      <c r="A3" s="12" t="s">
        <v>84</v>
      </c>
      <c r="B3" s="8" t="s">
        <v>83</v>
      </c>
      <c r="C3" s="9"/>
      <c r="D3" s="11">
        <v>18109331</v>
      </c>
      <c r="E3" s="8" t="s">
        <v>82</v>
      </c>
      <c r="F3" s="9"/>
      <c r="G3" s="14" t="s">
        <v>81</v>
      </c>
      <c r="H3" s="8" t="s">
        <v>3</v>
      </c>
      <c r="I3" s="9" t="s">
        <v>8</v>
      </c>
      <c r="J3" s="9"/>
      <c r="K3" s="9"/>
      <c r="L3" s="9"/>
      <c r="M3" s="9" t="s">
        <v>1</v>
      </c>
      <c r="N3" s="9"/>
      <c r="O3" s="9"/>
      <c r="P3" s="8" t="str">
        <f t="shared" si="0"/>
        <v xml:space="preserve">Lo mas pronto
Meses: 
Score: 
Banco: </v>
      </c>
      <c r="Q3" s="7" t="s">
        <v>18</v>
      </c>
    </row>
    <row r="4" spans="1:17" x14ac:dyDescent="0.25">
      <c r="A4" s="6" t="s">
        <v>80</v>
      </c>
      <c r="B4" s="2" t="s">
        <v>79</v>
      </c>
      <c r="C4" s="3"/>
      <c r="D4" s="5">
        <v>45044521</v>
      </c>
      <c r="E4" s="2" t="s">
        <v>78</v>
      </c>
      <c r="F4" s="3"/>
      <c r="G4" s="13" t="s">
        <v>77</v>
      </c>
      <c r="H4" s="2" t="s">
        <v>3</v>
      </c>
      <c r="I4" s="3" t="s">
        <v>2</v>
      </c>
      <c r="J4" s="3"/>
      <c r="K4" s="3"/>
      <c r="L4" s="3"/>
      <c r="M4" s="3" t="s">
        <v>1</v>
      </c>
      <c r="N4" s="3"/>
      <c r="O4" s="3"/>
      <c r="P4" s="2" t="str">
        <f t="shared" si="0"/>
        <v xml:space="preserve">El próximo año
Meses: 
Score: 
Banco: </v>
      </c>
      <c r="Q4" s="1" t="s">
        <v>18</v>
      </c>
    </row>
    <row r="5" spans="1:17" x14ac:dyDescent="0.25">
      <c r="A5" s="12" t="s">
        <v>76</v>
      </c>
      <c r="B5" s="9" t="s">
        <v>75</v>
      </c>
      <c r="C5" s="9"/>
      <c r="D5" s="11">
        <v>70008474</v>
      </c>
      <c r="E5" s="9" t="s">
        <v>74</v>
      </c>
      <c r="F5" s="9"/>
      <c r="G5" s="10" t="s">
        <v>73</v>
      </c>
      <c r="H5" s="8"/>
      <c r="I5" s="9" t="s">
        <v>29</v>
      </c>
      <c r="J5" s="9"/>
      <c r="K5" s="9"/>
      <c r="L5" s="9"/>
      <c r="M5" s="9" t="s">
        <v>1</v>
      </c>
      <c r="N5" s="9"/>
      <c r="O5" s="9"/>
      <c r="P5" s="8" t="str">
        <f t="shared" si="0"/>
        <v xml:space="preserve">Directo a Whatsapp
Meses: 
Score: 
Banco: </v>
      </c>
      <c r="Q5" s="7" t="s">
        <v>18</v>
      </c>
    </row>
    <row r="6" spans="1:17" x14ac:dyDescent="0.25">
      <c r="A6" s="6" t="s">
        <v>72</v>
      </c>
      <c r="B6" s="2" t="s">
        <v>71</v>
      </c>
      <c r="C6" s="3"/>
      <c r="D6" s="5">
        <v>43160990</v>
      </c>
      <c r="E6" s="2" t="s">
        <v>70</v>
      </c>
      <c r="F6" s="3"/>
      <c r="G6" s="13" t="s">
        <v>69</v>
      </c>
      <c r="H6" s="2" t="s">
        <v>3</v>
      </c>
      <c r="I6" s="3" t="s">
        <v>8</v>
      </c>
      <c r="J6" s="3"/>
      <c r="K6" s="3"/>
      <c r="L6" s="3"/>
      <c r="M6" s="3" t="s">
        <v>1</v>
      </c>
      <c r="N6" s="3"/>
      <c r="O6" s="3"/>
      <c r="P6" s="2" t="str">
        <f t="shared" si="0"/>
        <v xml:space="preserve">Lo mas pronto
Meses: 
Score: 
Banco: </v>
      </c>
      <c r="Q6" s="1" t="s">
        <v>18</v>
      </c>
    </row>
    <row r="7" spans="1:17" x14ac:dyDescent="0.25">
      <c r="A7" s="12" t="s">
        <v>68</v>
      </c>
      <c r="B7" s="8" t="s">
        <v>67</v>
      </c>
      <c r="C7" s="9"/>
      <c r="D7" s="11">
        <v>7268015</v>
      </c>
      <c r="E7" s="8" t="s">
        <v>66</v>
      </c>
      <c r="F7" s="9"/>
      <c r="G7" s="14" t="s">
        <v>65</v>
      </c>
      <c r="H7" s="8" t="s">
        <v>64</v>
      </c>
      <c r="I7" s="9" t="s">
        <v>8</v>
      </c>
      <c r="J7" s="9"/>
      <c r="K7" s="9"/>
      <c r="L7" s="9"/>
      <c r="M7" s="9" t="s">
        <v>1</v>
      </c>
      <c r="N7" s="9"/>
      <c r="O7" s="9"/>
      <c r="P7" s="8" t="str">
        <f t="shared" si="0"/>
        <v xml:space="preserve">Lo mas pronto
Meses: 
Score: 
Banco: </v>
      </c>
      <c r="Q7" s="7" t="s">
        <v>18</v>
      </c>
    </row>
    <row r="8" spans="1:17" x14ac:dyDescent="0.25">
      <c r="A8" s="6" t="s">
        <v>63</v>
      </c>
      <c r="B8" s="3" t="s">
        <v>62</v>
      </c>
      <c r="C8" s="3"/>
      <c r="D8" s="5">
        <v>70619152</v>
      </c>
      <c r="E8" s="2" t="s">
        <v>61</v>
      </c>
      <c r="F8" s="3"/>
      <c r="G8" s="4" t="s">
        <v>60</v>
      </c>
      <c r="H8" s="2" t="s">
        <v>3</v>
      </c>
      <c r="I8" s="3" t="s">
        <v>2</v>
      </c>
      <c r="J8" s="3"/>
      <c r="K8" s="3"/>
      <c r="L8" s="3"/>
      <c r="M8" s="3" t="s">
        <v>1</v>
      </c>
      <c r="N8" s="3"/>
      <c r="O8" s="3"/>
      <c r="P8" s="2" t="str">
        <f t="shared" si="0"/>
        <v xml:space="preserve">El próximo año
Meses: 
Score: 
Banco: </v>
      </c>
      <c r="Q8" s="1" t="s">
        <v>0</v>
      </c>
    </row>
    <row r="9" spans="1:17" x14ac:dyDescent="0.25">
      <c r="A9" s="12" t="s">
        <v>59</v>
      </c>
      <c r="B9" s="8" t="s">
        <v>58</v>
      </c>
      <c r="C9" s="9"/>
      <c r="D9" s="11">
        <v>47584759</v>
      </c>
      <c r="E9" s="8" t="s">
        <v>57</v>
      </c>
      <c r="F9" s="9"/>
      <c r="G9" s="14" t="s">
        <v>56</v>
      </c>
      <c r="H9" s="8" t="s">
        <v>3</v>
      </c>
      <c r="I9" s="9" t="s">
        <v>8</v>
      </c>
      <c r="J9" s="9"/>
      <c r="K9" s="9"/>
      <c r="L9" s="9"/>
      <c r="M9" s="9" t="s">
        <v>1</v>
      </c>
      <c r="N9" s="9"/>
      <c r="O9" s="9"/>
      <c r="P9" s="8" t="str">
        <f t="shared" si="0"/>
        <v xml:space="preserve">Lo mas pronto
Meses: 
Score: 
Banco: </v>
      </c>
      <c r="Q9" s="7" t="s">
        <v>18</v>
      </c>
    </row>
    <row r="10" spans="1:17" x14ac:dyDescent="0.25">
      <c r="A10" s="6" t="s">
        <v>55</v>
      </c>
      <c r="B10" s="3" t="s">
        <v>54</v>
      </c>
      <c r="C10" s="3"/>
      <c r="D10" s="5">
        <v>73499988</v>
      </c>
      <c r="E10" s="3" t="s">
        <v>53</v>
      </c>
      <c r="F10" s="3"/>
      <c r="G10" s="4" t="s">
        <v>52</v>
      </c>
      <c r="H10" s="2"/>
      <c r="I10" s="3" t="s">
        <v>29</v>
      </c>
      <c r="J10" s="3"/>
      <c r="K10" s="3"/>
      <c r="L10" s="3"/>
      <c r="M10" s="3" t="s">
        <v>1</v>
      </c>
      <c r="N10" s="3"/>
      <c r="O10" s="3"/>
      <c r="P10" s="2" t="str">
        <f t="shared" si="0"/>
        <v xml:space="preserve">Directo a Whatsapp
Meses: 
Score: 
Banco: </v>
      </c>
      <c r="Q10" s="1" t="s">
        <v>18</v>
      </c>
    </row>
    <row r="11" spans="1:17" x14ac:dyDescent="0.25">
      <c r="A11" s="12" t="s">
        <v>51</v>
      </c>
      <c r="B11" s="9" t="s">
        <v>50</v>
      </c>
      <c r="C11" s="9"/>
      <c r="D11" s="11">
        <v>47507311</v>
      </c>
      <c r="E11" s="9" t="s">
        <v>49</v>
      </c>
      <c r="F11" s="9"/>
      <c r="G11" s="10" t="s">
        <v>48</v>
      </c>
      <c r="H11" s="8" t="s">
        <v>3</v>
      </c>
      <c r="I11" s="9" t="s">
        <v>8</v>
      </c>
      <c r="J11" s="9"/>
      <c r="K11" s="9"/>
      <c r="L11" s="9"/>
      <c r="M11" s="9" t="s">
        <v>1</v>
      </c>
      <c r="N11" s="9"/>
      <c r="O11" s="9"/>
      <c r="P11" s="8" t="str">
        <f t="shared" si="0"/>
        <v xml:space="preserve">Lo mas pronto
Meses: 
Score: 
Banco: </v>
      </c>
      <c r="Q11" s="7" t="s">
        <v>18</v>
      </c>
    </row>
    <row r="12" spans="1:17" x14ac:dyDescent="0.25">
      <c r="A12" s="6" t="s">
        <v>47</v>
      </c>
      <c r="B12" s="3" t="s">
        <v>46</v>
      </c>
      <c r="C12" s="3"/>
      <c r="D12" s="5">
        <v>48154517</v>
      </c>
      <c r="E12" s="3" t="s">
        <v>45</v>
      </c>
      <c r="F12" s="3"/>
      <c r="G12" s="4" t="s">
        <v>44</v>
      </c>
      <c r="H12" s="2" t="s">
        <v>3</v>
      </c>
      <c r="I12" s="3" t="s">
        <v>8</v>
      </c>
      <c r="J12" s="3"/>
      <c r="K12" s="3"/>
      <c r="L12" s="3"/>
      <c r="M12" s="3" t="s">
        <v>1</v>
      </c>
      <c r="N12" s="3"/>
      <c r="O12" s="3"/>
      <c r="P12" s="2" t="str">
        <f t="shared" si="0"/>
        <v xml:space="preserve">Lo mas pronto
Meses: 
Score: 
Banco: </v>
      </c>
      <c r="Q12" s="1" t="s">
        <v>18</v>
      </c>
    </row>
    <row r="13" spans="1:17" x14ac:dyDescent="0.25">
      <c r="A13" s="12" t="s">
        <v>43</v>
      </c>
      <c r="B13" s="9" t="s">
        <v>42</v>
      </c>
      <c r="C13" s="9"/>
      <c r="D13" s="11">
        <v>73679617</v>
      </c>
      <c r="E13" s="9" t="s">
        <v>41</v>
      </c>
      <c r="F13" s="9"/>
      <c r="G13" s="10" t="s">
        <v>40</v>
      </c>
      <c r="H13" s="8" t="s">
        <v>3</v>
      </c>
      <c r="I13" s="9" t="s">
        <v>2</v>
      </c>
      <c r="J13" s="9"/>
      <c r="K13" s="9"/>
      <c r="L13" s="9"/>
      <c r="M13" s="9" t="s">
        <v>1</v>
      </c>
      <c r="N13" s="9"/>
      <c r="O13" s="9"/>
      <c r="P13" s="8" t="str">
        <f t="shared" si="0"/>
        <v xml:space="preserve">El próximo año
Meses: 
Score: 
Banco: </v>
      </c>
      <c r="Q13" s="7" t="s">
        <v>18</v>
      </c>
    </row>
    <row r="14" spans="1:17" x14ac:dyDescent="0.25">
      <c r="A14" s="6" t="s">
        <v>39</v>
      </c>
      <c r="B14" s="2" t="s">
        <v>38</v>
      </c>
      <c r="C14" s="3"/>
      <c r="D14" s="5">
        <v>9596914</v>
      </c>
      <c r="E14" s="2" t="s">
        <v>37</v>
      </c>
      <c r="F14" s="3"/>
      <c r="G14" s="13" t="s">
        <v>36</v>
      </c>
      <c r="H14" s="2" t="s">
        <v>35</v>
      </c>
      <c r="I14" s="3" t="s">
        <v>34</v>
      </c>
      <c r="J14" s="3"/>
      <c r="K14" s="3"/>
      <c r="L14" s="3"/>
      <c r="M14" s="3" t="s">
        <v>1</v>
      </c>
      <c r="N14" s="3"/>
      <c r="O14" s="3"/>
      <c r="P14" s="2" t="str">
        <f t="shared" si="0"/>
        <v xml:space="preserve">Para diciembre de este año
Meses: 
Score: 
Banco: </v>
      </c>
      <c r="Q14" s="1" t="s">
        <v>18</v>
      </c>
    </row>
    <row r="15" spans="1:17" x14ac:dyDescent="0.25">
      <c r="A15" s="12" t="s">
        <v>33</v>
      </c>
      <c r="B15" s="9" t="s">
        <v>32</v>
      </c>
      <c r="C15" s="9"/>
      <c r="D15" s="11">
        <v>72278740</v>
      </c>
      <c r="E15" s="9" t="s">
        <v>31</v>
      </c>
      <c r="F15" s="9"/>
      <c r="G15" s="10" t="s">
        <v>30</v>
      </c>
      <c r="H15" s="8"/>
      <c r="I15" s="9" t="s">
        <v>29</v>
      </c>
      <c r="J15" s="9"/>
      <c r="K15" s="9"/>
      <c r="L15" s="9"/>
      <c r="M15" s="9" t="s">
        <v>1</v>
      </c>
      <c r="N15" s="9"/>
      <c r="O15" s="9"/>
      <c r="P15" s="8" t="str">
        <f t="shared" si="0"/>
        <v xml:space="preserve">Directo a Whatsapp
Meses: 
Score: 
Banco: </v>
      </c>
      <c r="Q15" s="7" t="s">
        <v>18</v>
      </c>
    </row>
    <row r="16" spans="1:17" x14ac:dyDescent="0.25">
      <c r="A16" s="6" t="s">
        <v>28</v>
      </c>
      <c r="B16" s="2" t="s">
        <v>27</v>
      </c>
      <c r="C16" s="3"/>
      <c r="D16" s="5">
        <v>40233520</v>
      </c>
      <c r="E16" s="2" t="s">
        <v>26</v>
      </c>
      <c r="F16" s="3"/>
      <c r="G16" s="13" t="s">
        <v>25</v>
      </c>
      <c r="H16" s="2" t="s">
        <v>24</v>
      </c>
      <c r="I16" s="3" t="s">
        <v>2</v>
      </c>
      <c r="J16" s="3"/>
      <c r="K16" s="3"/>
      <c r="L16" s="3"/>
      <c r="M16" s="3" t="s">
        <v>1</v>
      </c>
      <c r="N16" s="3"/>
      <c r="O16" s="3"/>
      <c r="P16" s="2" t="str">
        <f t="shared" si="0"/>
        <v xml:space="preserve">El próximo año
Meses: 
Score: 
Banco: </v>
      </c>
      <c r="Q16" s="1" t="s">
        <v>18</v>
      </c>
    </row>
    <row r="17" spans="1:17" x14ac:dyDescent="0.25">
      <c r="A17" s="12" t="s">
        <v>23</v>
      </c>
      <c r="B17" s="9" t="s">
        <v>22</v>
      </c>
      <c r="C17" s="9"/>
      <c r="D17" s="11">
        <v>3367455</v>
      </c>
      <c r="E17" s="9" t="s">
        <v>21</v>
      </c>
      <c r="F17" s="9"/>
      <c r="G17" s="10" t="s">
        <v>20</v>
      </c>
      <c r="H17" s="8" t="s">
        <v>19</v>
      </c>
      <c r="I17" s="9" t="s">
        <v>2</v>
      </c>
      <c r="J17" s="9"/>
      <c r="K17" s="9"/>
      <c r="L17" s="9"/>
      <c r="M17" s="9" t="s">
        <v>1</v>
      </c>
      <c r="N17" s="9"/>
      <c r="O17" s="9"/>
      <c r="P17" s="8" t="str">
        <f t="shared" si="0"/>
        <v xml:space="preserve">El próximo año
Meses: 
Score: 
Banco: </v>
      </c>
      <c r="Q17" s="7" t="s">
        <v>18</v>
      </c>
    </row>
    <row r="18" spans="1:17" x14ac:dyDescent="0.25">
      <c r="A18" s="6" t="s">
        <v>17</v>
      </c>
      <c r="B18" s="3" t="s">
        <v>16</v>
      </c>
      <c r="C18" s="3"/>
      <c r="D18" s="5">
        <v>71755319</v>
      </c>
      <c r="E18" s="2" t="s">
        <v>15</v>
      </c>
      <c r="F18" s="3"/>
      <c r="G18" s="4" t="s">
        <v>14</v>
      </c>
      <c r="H18" s="2" t="s">
        <v>13</v>
      </c>
      <c r="I18" s="3" t="s">
        <v>2</v>
      </c>
      <c r="J18" s="3"/>
      <c r="K18" s="3"/>
      <c r="L18" s="3"/>
      <c r="M18" s="3" t="s">
        <v>1</v>
      </c>
      <c r="N18" s="3"/>
      <c r="O18" s="3"/>
      <c r="P18" s="2" t="str">
        <f t="shared" si="0"/>
        <v xml:space="preserve">El próximo año
Meses: 
Score: 
Banco: </v>
      </c>
      <c r="Q18" s="1" t="s">
        <v>0</v>
      </c>
    </row>
    <row r="19" spans="1:17" x14ac:dyDescent="0.25">
      <c r="A19" s="12" t="s">
        <v>12</v>
      </c>
      <c r="B19" s="9" t="s">
        <v>11</v>
      </c>
      <c r="C19" s="9"/>
      <c r="D19" s="11">
        <v>42459274</v>
      </c>
      <c r="E19" s="8" t="s">
        <v>10</v>
      </c>
      <c r="F19" s="9"/>
      <c r="G19" s="10" t="s">
        <v>9</v>
      </c>
      <c r="H19" s="8" t="s">
        <v>3</v>
      </c>
      <c r="I19" s="9" t="s">
        <v>8</v>
      </c>
      <c r="J19" s="9"/>
      <c r="K19" s="9"/>
      <c r="L19" s="9"/>
      <c r="M19" s="9" t="s">
        <v>1</v>
      </c>
      <c r="N19" s="9"/>
      <c r="O19" s="9"/>
      <c r="P19" s="8" t="str">
        <f t="shared" si="0"/>
        <v xml:space="preserve">Lo mas pronto
Meses: 
Score: 
Banco: </v>
      </c>
      <c r="Q19" s="7" t="s">
        <v>0</v>
      </c>
    </row>
    <row r="20" spans="1:17" x14ac:dyDescent="0.25">
      <c r="A20" s="6" t="s">
        <v>7</v>
      </c>
      <c r="B20" s="3" t="s">
        <v>6</v>
      </c>
      <c r="C20" s="3"/>
      <c r="D20" s="5">
        <v>45372928</v>
      </c>
      <c r="E20" s="2" t="s">
        <v>5</v>
      </c>
      <c r="F20" s="3"/>
      <c r="G20" s="4" t="s">
        <v>4</v>
      </c>
      <c r="H20" s="2" t="s">
        <v>3</v>
      </c>
      <c r="I20" s="3" t="s">
        <v>2</v>
      </c>
      <c r="J20" s="3"/>
      <c r="K20" s="3"/>
      <c r="L20" s="3"/>
      <c r="M20" s="3" t="s">
        <v>1</v>
      </c>
      <c r="N20" s="3"/>
      <c r="O20" s="3"/>
      <c r="P20" s="2" t="str">
        <f t="shared" si="0"/>
        <v xml:space="preserve">El próximo año
Meses: 
Score: 
Banco: </v>
      </c>
      <c r="Q2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Elvin Rodolfo Cordova Flores</dc:creator>
  <cp:lastModifiedBy>Elvin Córdova</cp:lastModifiedBy>
  <dcterms:created xsi:type="dcterms:W3CDTF">2025-11-05T03:02:34Z</dcterms:created>
  <dcterms:modified xsi:type="dcterms:W3CDTF">2025-11-07T01:23:23Z</dcterms:modified>
</cp:coreProperties>
</file>