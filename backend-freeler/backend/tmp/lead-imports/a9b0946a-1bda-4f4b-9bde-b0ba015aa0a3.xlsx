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346DB477-2E39-4370-ABB8-28DD6AC742E7}" xr6:coauthVersionLast="47" xr6:coauthVersionMax="47" xr10:uidLastSave="{00000000-0000-0000-0000-000000000000}"/>
  <bookViews>
    <workbookView xWindow="-120" yWindow="-120" windowWidth="20730" windowHeight="11310" xr2:uid="{BCA5CE12-1842-4088-AD8F-DA0D61FF1118}"/>
  </bookViews>
  <sheets>
    <sheet name="6-14 nov" sheetId="1" r:id="rId1"/>
    <sheet name="1-5 nov" sheetId="2" r:id="rId2"/>
  </sheets>
  <definedNames>
    <definedName name="_xlnm._FilterDatabase" localSheetId="0" hidden="1">'6-14 nov'!$A$1:$Q$147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2" i="2" l="1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<sst xmlns="http://schemas.openxmlformats.org/spreadsheetml/2006/main" count="2072" uniqueCount="785">
  <si>
    <t>FECHA</t>
  </si>
  <si>
    <t>Nombre</t>
  </si>
  <si>
    <t>Apellidos</t>
  </si>
  <si>
    <t>Identificacion</t>
  </si>
  <si>
    <t>Correo</t>
  </si>
  <si>
    <t>Telefono</t>
  </si>
  <si>
    <t>Celular</t>
  </si>
  <si>
    <t>Direccion</t>
  </si>
  <si>
    <t>Para cuando??</t>
  </si>
  <si>
    <t>Interes</t>
  </si>
  <si>
    <t>situacion</t>
  </si>
  <si>
    <t>%</t>
  </si>
  <si>
    <t>Meses</t>
  </si>
  <si>
    <t>Score</t>
  </si>
  <si>
    <t>Banco</t>
  </si>
  <si>
    <t>Observación unido</t>
  </si>
  <si>
    <t>VENDEDOR</t>
  </si>
  <si>
    <t>11/14/2024 6:54am</t>
  </si>
  <si>
    <t>Kevin Estwar Dongo Plasencia</t>
  </si>
  <si>
    <t>estuardo91_17@hotmail.com</t>
  </si>
  <si>
    <t>+51990419071</t>
  </si>
  <si>
    <t>Trujillo</t>
  </si>
  <si>
    <t>Para diciembre de este año</t>
  </si>
  <si>
    <t/>
  </si>
  <si>
    <t>LITO</t>
  </si>
  <si>
    <t>11/14/2024 6:06am</t>
  </si>
  <si>
    <t>Monica Miranda Sato</t>
  </si>
  <si>
    <t>monica_mirandasato@hotmail.com</t>
  </si>
  <si>
    <t>+51989156994</t>
  </si>
  <si>
    <t>Lo mas pronto</t>
  </si>
  <si>
    <t>11/14/2024 4:58am</t>
  </si>
  <si>
    <t>Julio Ernesto Agreda Rebaza</t>
  </si>
  <si>
    <t>agredajulio01@hotmail.com</t>
  </si>
  <si>
    <t>+51958546390</t>
  </si>
  <si>
    <t>El próximo año</t>
  </si>
  <si>
    <t>11/14/2024 4:08am</t>
  </si>
  <si>
    <t>Marcia Andrade</t>
  </si>
  <si>
    <t>marcia2795@hotmail.com</t>
  </si>
  <si>
    <t>+51948207338</t>
  </si>
  <si>
    <t>Directo a Whatsapp</t>
  </si>
  <si>
    <t>11/14/2024 3:54am</t>
  </si>
  <si>
    <t>Rosvi Siccha Campos</t>
  </si>
  <si>
    <t>vivian_s95@hotmail.com</t>
  </si>
  <si>
    <t>+51928279569</t>
  </si>
  <si>
    <t>11/14/2024 12:39am</t>
  </si>
  <si>
    <t>oscar jayme garcia agreda</t>
  </si>
  <si>
    <t>ogajaime@hotmail.com</t>
  </si>
  <si>
    <t>+51936815314</t>
  </si>
  <si>
    <t>Huamachuco</t>
  </si>
  <si>
    <t>11/13/2024 9:50am</t>
  </si>
  <si>
    <t>Leonardo Chávez Gaona</t>
  </si>
  <si>
    <t>leonardoch9523@gmail.com</t>
  </si>
  <si>
    <t>+51979386153</t>
  </si>
  <si>
    <t>MITCHELL</t>
  </si>
  <si>
    <t>11/13/2024 9:29pm</t>
  </si>
  <si>
    <t>Leyde Leyva Orrillo</t>
  </si>
  <si>
    <t>leyde2011ley@gmail.com</t>
  </si>
  <si>
    <t>+51932171227</t>
  </si>
  <si>
    <t>11/13/2024 7:26pm</t>
  </si>
  <si>
    <t>Ivonn Armas</t>
  </si>
  <si>
    <t>ivon.armas24@gmail.com</t>
  </si>
  <si>
    <t>+51966474149</t>
  </si>
  <si>
    <t>11/13/2024 6:42am</t>
  </si>
  <si>
    <t>Brenda Zumaran</t>
  </si>
  <si>
    <t>bren.zum@gmail.com</t>
  </si>
  <si>
    <t>+51932927053</t>
  </si>
  <si>
    <t>11/13/2024 5:11am</t>
  </si>
  <si>
    <t>Vanesa P Blas</t>
  </si>
  <si>
    <t>cassie03mp@gmail.com</t>
  </si>
  <si>
    <t>+51964417895</t>
  </si>
  <si>
    <t>11/13/2024 4:33am</t>
  </si>
  <si>
    <t>Valentina Aponte</t>
  </si>
  <si>
    <t>is.28ba@gmail.com</t>
  </si>
  <si>
    <t>+51965233820</t>
  </si>
  <si>
    <t>11/13/2024 4:23pm</t>
  </si>
  <si>
    <t>Celia Angelita Guarniz Alva</t>
  </si>
  <si>
    <t>angela_geminis@hotmail.com</t>
  </si>
  <si>
    <t>+51920839389</t>
  </si>
  <si>
    <t>Pisco</t>
  </si>
  <si>
    <t>11/13/2024 4:09pm</t>
  </si>
  <si>
    <t>Emerson Quiroz Vasquez</t>
  </si>
  <si>
    <t>emerqv1@gmail.com</t>
  </si>
  <si>
    <t>+51930467626</t>
  </si>
  <si>
    <t>11/13/2024 4:00pm</t>
  </si>
  <si>
    <t>luis Alberto Angulo León</t>
  </si>
  <si>
    <t>proflaal@gmail.com</t>
  </si>
  <si>
    <t>+51972804030</t>
  </si>
  <si>
    <t>Pacasmayo Perú</t>
  </si>
  <si>
    <t>11/13/2024 3:51am</t>
  </si>
  <si>
    <t>Carlos Enrique Huaches Diaz</t>
  </si>
  <si>
    <t>carlosenriqueKA258@gmail.com</t>
  </si>
  <si>
    <t>+51964980042</t>
  </si>
  <si>
    <t>Piura</t>
  </si>
  <si>
    <t>11/13/2024 3:23pm</t>
  </si>
  <si>
    <t>Patricia del Carmen Concha Enriquez</t>
  </si>
  <si>
    <t>patricia.del.carmen.0812@gmail.com</t>
  </si>
  <si>
    <t>+51906531733</t>
  </si>
  <si>
    <t>Cusco</t>
  </si>
  <si>
    <t>11/13/2024 3:17pm</t>
  </si>
  <si>
    <t>Leydi Gomez Zavaleta</t>
  </si>
  <si>
    <t>gomezzavaletaleydi@gmail.com</t>
  </si>
  <si>
    <t>+51939500361</t>
  </si>
  <si>
    <t>11/13/2024 2:53pm</t>
  </si>
  <si>
    <t>Laura Peña</t>
  </si>
  <si>
    <t>raphaela23052012.s@gmail.com</t>
  </si>
  <si>
    <t>+51914337249</t>
  </si>
  <si>
    <t>11/13/2024 11:49am</t>
  </si>
  <si>
    <t>Juan Canales Cuba</t>
  </si>
  <si>
    <t>Canalescubajd@gmail.com</t>
  </si>
  <si>
    <t>+51906891192</t>
  </si>
  <si>
    <t>11/13/2024 11:25am</t>
  </si>
  <si>
    <t>Jhordan Castillo Diaz</t>
  </si>
  <si>
    <t>jhordancastillo_1@hotmail.com</t>
  </si>
  <si>
    <t>+51998491855</t>
  </si>
  <si>
    <t>11/13/2024 1:16pm</t>
  </si>
  <si>
    <t>luis fernando holguin chavez</t>
  </si>
  <si>
    <t>lholguinch@ucvvirtual.edu.pe</t>
  </si>
  <si>
    <t>+51998362689</t>
  </si>
  <si>
    <t>11/12/2024 9:55pm</t>
  </si>
  <si>
    <t>Kasumy Arteaga Sotomayor</t>
  </si>
  <si>
    <t>kasumyarteagas@gmail.com</t>
  </si>
  <si>
    <t>+51969374837</t>
  </si>
  <si>
    <t>11/12/2024 9:25am</t>
  </si>
  <si>
    <t>Brayan Varela</t>
  </si>
  <si>
    <t>brayan.varela@hotmail.com</t>
  </si>
  <si>
    <t>+51956001538</t>
  </si>
  <si>
    <t>Bajo</t>
  </si>
  <si>
    <t xml:space="preserve">BAJO SCORE / MAL SBS </t>
  </si>
  <si>
    <t>E</t>
  </si>
  <si>
    <t>11/12/2024 9:20am</t>
  </si>
  <si>
    <t>Gabriel Novoa</t>
  </si>
  <si>
    <t>gabriel_novoa14@hotmail.com</t>
  </si>
  <si>
    <t>+51926900288</t>
  </si>
  <si>
    <t xml:space="preserve">NO CALIFICA POR SCORE </t>
  </si>
  <si>
    <t>11/12/2024 8:51am</t>
  </si>
  <si>
    <t>Esther Elizabeth Honorio Garcia</t>
  </si>
  <si>
    <t>elizalov84@gmail.com</t>
  </si>
  <si>
    <t>+51926603829</t>
  </si>
  <si>
    <t>C</t>
  </si>
  <si>
    <t>11/12/2024 6:55pm</t>
  </si>
  <si>
    <t>Santos Eucevio Acevedo Crespin</t>
  </si>
  <si>
    <t>Transporte_1993@outlook.com</t>
  </si>
  <si>
    <t>+51978346718</t>
  </si>
  <si>
    <t>11/12/2024 6:11am</t>
  </si>
  <si>
    <t>Jessica Lourdes Torres Ccolqque</t>
  </si>
  <si>
    <t>No hay</t>
  </si>
  <si>
    <t>+51906560076</t>
  </si>
  <si>
    <t>Arequipa</t>
  </si>
  <si>
    <t>11/12/2024 5:52pm</t>
  </si>
  <si>
    <t>Juan Antonio Vargas Calderón</t>
  </si>
  <si>
    <t>fe_vc@hotmail.com</t>
  </si>
  <si>
    <t>+51982748287</t>
  </si>
  <si>
    <t>11/12/2024 5:01am</t>
  </si>
  <si>
    <t>Dolnik Iparraguirre Palomino</t>
  </si>
  <si>
    <t>+51989922075</t>
  </si>
  <si>
    <t>Cajabamba</t>
  </si>
  <si>
    <t>Potencial</t>
  </si>
  <si>
    <t>11/12/2024 4:44pm</t>
  </si>
  <si>
    <t>Leydy Huaman Leon</t>
  </si>
  <si>
    <t>lhuamanl@hotmail.com</t>
  </si>
  <si>
    <t>+51978905522</t>
  </si>
  <si>
    <t>11/12/2024 4:43am</t>
  </si>
  <si>
    <t>Emma Mendoza</t>
  </si>
  <si>
    <t>+51963353362</t>
  </si>
  <si>
    <t>Pendiente</t>
  </si>
  <si>
    <t>CONDONACION DE DEUDA</t>
  </si>
  <si>
    <t>B</t>
  </si>
  <si>
    <t>11/12/2024 4:11am</t>
  </si>
  <si>
    <t>Yoly Diaz Vasquez</t>
  </si>
  <si>
    <t>+51937374307</t>
  </si>
  <si>
    <t>11/12/2024 3:58pm</t>
  </si>
  <si>
    <t>Kiara Carolina Hunter Avalos</t>
  </si>
  <si>
    <t>Kiara.huntera@hotmail.com</t>
  </si>
  <si>
    <t>+51906040863</t>
  </si>
  <si>
    <t>11/12/2024 3:49am</t>
  </si>
  <si>
    <t>Alexandra Capristan</t>
  </si>
  <si>
    <t>+51938121200</t>
  </si>
  <si>
    <t>Paiján</t>
  </si>
  <si>
    <t>11/12/2024 3:40am</t>
  </si>
  <si>
    <t>Felipe Antonio Villalobos Mattos</t>
  </si>
  <si>
    <t>+51952540246</t>
  </si>
  <si>
    <t>11/12/2024 2:15pm</t>
  </si>
  <si>
    <t>Rosa Zavaleta Sandoval</t>
  </si>
  <si>
    <t>rozasa8@outlook.com</t>
  </si>
  <si>
    <t>+51973719040</t>
  </si>
  <si>
    <t>11/12/2024 12:57pm</t>
  </si>
  <si>
    <t>Vargas Huaman Huber</t>
  </si>
  <si>
    <t>huber_16v@hotmail.com</t>
  </si>
  <si>
    <t>+51977416420</t>
  </si>
  <si>
    <t>11/12/2024 12:44pm</t>
  </si>
  <si>
    <t>Ana Esperanza Ochoa Figueroa</t>
  </si>
  <si>
    <t>anaesperanzaochoa@gmail.com</t>
  </si>
  <si>
    <t>+51974167510</t>
  </si>
  <si>
    <t>11/12/2024 12:34am</t>
  </si>
  <si>
    <t>Nanty Rosalia  Zarate Cusquisiban</t>
  </si>
  <si>
    <t>+51959265852</t>
  </si>
  <si>
    <t>11/12/2024 12:25pm</t>
  </si>
  <si>
    <t>Moises Arrue Flores</t>
  </si>
  <si>
    <t>Walterarrue272924@gmail.com</t>
  </si>
  <si>
    <t>+51971234063</t>
  </si>
  <si>
    <t xml:space="preserve">MAL SBS </t>
  </si>
  <si>
    <t>11/12/2024 12:01am</t>
  </si>
  <si>
    <t>Kimberly Valverde</t>
  </si>
  <si>
    <t>+51912237503</t>
  </si>
  <si>
    <t>Luis Eduardo</t>
  </si>
  <si>
    <t>+51923620931</t>
  </si>
  <si>
    <t>11/12/2024 11:50am</t>
  </si>
  <si>
    <t>María Fe Paredes Neyra</t>
  </si>
  <si>
    <t>mariafe.paredesn@gmail.com</t>
  </si>
  <si>
    <t>+51942695151</t>
  </si>
  <si>
    <t>11/12/2024 11:14am</t>
  </si>
  <si>
    <t>Walter arrue flores</t>
  </si>
  <si>
    <t>walter25.09@hotmail.com</t>
  </si>
  <si>
    <t>+51972939692</t>
  </si>
  <si>
    <t>11/12/2024 10:46pm</t>
  </si>
  <si>
    <t>Leidy Dayana Agurto Saucedo</t>
  </si>
  <si>
    <t>leidyluis882079@gmail.com</t>
  </si>
  <si>
    <t>+51983786539</t>
  </si>
  <si>
    <t>11/12/2024 10:46am</t>
  </si>
  <si>
    <t>Nor</t>
  </si>
  <si>
    <t>noelia.chero.94@gmail.com</t>
  </si>
  <si>
    <t>+51928707388</t>
  </si>
  <si>
    <t>11/12/2024 10:30am</t>
  </si>
  <si>
    <t>Clarisa Galarreta</t>
  </si>
  <si>
    <t>+51929651886</t>
  </si>
  <si>
    <t>11/12/2024 10:06am</t>
  </si>
  <si>
    <t>Benji Leon Castillo</t>
  </si>
  <si>
    <t>leon.72455641@gmail.com</t>
  </si>
  <si>
    <t>+51970268188</t>
  </si>
  <si>
    <t>A</t>
  </si>
  <si>
    <t>11/11/2024 9:20am</t>
  </si>
  <si>
    <t>Scarle Arévalo</t>
  </si>
  <si>
    <t>+51952782770</t>
  </si>
  <si>
    <t>11/11/2024 9:06am</t>
  </si>
  <si>
    <t>Enrique Malca Johanson</t>
  </si>
  <si>
    <t>+51954846607</t>
  </si>
  <si>
    <t>11/11/2024 8:22pm</t>
  </si>
  <si>
    <t>Abigail Lujan</t>
  </si>
  <si>
    <t>+51901806438</t>
  </si>
  <si>
    <t>11/11/2024 8:03am</t>
  </si>
  <si>
    <t>Gabriela GS</t>
  </si>
  <si>
    <t>+51955756469</t>
  </si>
  <si>
    <t>chiclayo</t>
  </si>
  <si>
    <t>11/11/2024 7:41am</t>
  </si>
  <si>
    <t>Leonardo Aurelio Delgado Huamali</t>
  </si>
  <si>
    <t>+51987263646</t>
  </si>
  <si>
    <t>Otuzco</t>
  </si>
  <si>
    <t>11/11/2024 5:27pm</t>
  </si>
  <si>
    <t>Sandra Chávez</t>
  </si>
  <si>
    <t>+51908908632</t>
  </si>
  <si>
    <t>11/11/2024 4:03am</t>
  </si>
  <si>
    <t>Anali Rosado Alvino</t>
  </si>
  <si>
    <t>+51957417628</t>
  </si>
  <si>
    <t>Lima</t>
  </si>
  <si>
    <t>11/11/2024 3:40pm</t>
  </si>
  <si>
    <t>Jherik Guevara Villarreal</t>
  </si>
  <si>
    <t>+51900869542</t>
  </si>
  <si>
    <t>11/11/2024 3:27pm</t>
  </si>
  <si>
    <t>ZL Edith</t>
  </si>
  <si>
    <t>+51973210520</t>
  </si>
  <si>
    <t>D</t>
  </si>
  <si>
    <t>11/11/2024 2:48pm</t>
  </si>
  <si>
    <t>Katia Rubio</t>
  </si>
  <si>
    <t>+51951927799</t>
  </si>
  <si>
    <t>Cajamarca</t>
  </si>
  <si>
    <t>11/11/2024 2:40pm</t>
  </si>
  <si>
    <t>Lily Fiorella Jiménez León</t>
  </si>
  <si>
    <t>+51945414313</t>
  </si>
  <si>
    <t>11/11/2024 2:22pm</t>
  </si>
  <si>
    <t>José AC</t>
  </si>
  <si>
    <t>+51915335866</t>
  </si>
  <si>
    <t>11/11/2024 12:48pm</t>
  </si>
  <si>
    <t>Jorge ArenasCasanova</t>
  </si>
  <si>
    <t>+51992092488</t>
  </si>
  <si>
    <t>11/11/2024 12:45am</t>
  </si>
  <si>
    <t>Denise De Los Angeles Rafael Jimenez</t>
  </si>
  <si>
    <t>+51956796426</t>
  </si>
  <si>
    <t>11/11/2024 12:21pm</t>
  </si>
  <si>
    <t>Edi Huingo</t>
  </si>
  <si>
    <t>+51942540023</t>
  </si>
  <si>
    <t>11/11/2024 12:12am</t>
  </si>
  <si>
    <t>Lizzeth Aris Leslly Ancco Colque</t>
  </si>
  <si>
    <t>+51970807736</t>
  </si>
  <si>
    <t>11/11/2024 11:50am</t>
  </si>
  <si>
    <t>Alberto Santillan</t>
  </si>
  <si>
    <t>+51991441167</t>
  </si>
  <si>
    <t>11/11/2024 11:27am</t>
  </si>
  <si>
    <t>Kary Flowers</t>
  </si>
  <si>
    <t>+51917751856</t>
  </si>
  <si>
    <t>11/11/2024 11:16am</t>
  </si>
  <si>
    <t>Pilar Osorio Chávez</t>
  </si>
  <si>
    <t>+51971351860</t>
  </si>
  <si>
    <t>11/11/2024 10:46am</t>
  </si>
  <si>
    <t>Micaela Marilyn Valdivia Polo</t>
  </si>
  <si>
    <t>+51987380976</t>
  </si>
  <si>
    <t>11/11/2024 10:40am</t>
  </si>
  <si>
    <t>Billy Rodriguez Espinoza</t>
  </si>
  <si>
    <t>+51956626769</t>
  </si>
  <si>
    <t>11/11/2024 1:36am</t>
  </si>
  <si>
    <t>Luis Felipe Chacon Curo</t>
  </si>
  <si>
    <t>+51917594606</t>
  </si>
  <si>
    <t>11/10/2024 9:34am</t>
  </si>
  <si>
    <t>kari sevillano</t>
  </si>
  <si>
    <t>+51979379347</t>
  </si>
  <si>
    <t>11/10/2024 8:24am</t>
  </si>
  <si>
    <t>Jorge Luis Chiquinta Espinoza</t>
  </si>
  <si>
    <t>+51980315813</t>
  </si>
  <si>
    <t>Guadalupe - La Libertad</t>
  </si>
  <si>
    <t>11/10/2024 7:48pm</t>
  </si>
  <si>
    <t>Margarita Guzman</t>
  </si>
  <si>
    <t>+51949147699</t>
  </si>
  <si>
    <t>POR EDAD NO CALIFICA</t>
  </si>
  <si>
    <t>11/10/2024 7:45pm</t>
  </si>
  <si>
    <t>Mauricio Matta Seclen</t>
  </si>
  <si>
    <t>+51955955272</t>
  </si>
  <si>
    <t>11/10/2024 7:03pm</t>
  </si>
  <si>
    <t>Flor Olinda Medina Amaya</t>
  </si>
  <si>
    <t>+51937521101</t>
  </si>
  <si>
    <t>11/10/2024 6:10am</t>
  </si>
  <si>
    <t>CESIA PAREDES PIZAN</t>
  </si>
  <si>
    <t>+51952162918</t>
  </si>
  <si>
    <t>11/10/2024 5:49pm</t>
  </si>
  <si>
    <t>Nelly Rodríguez</t>
  </si>
  <si>
    <t>+51994615125</t>
  </si>
  <si>
    <t>11/10/2024 5:48pm</t>
  </si>
  <si>
    <t>Anyie Nikole</t>
  </si>
  <si>
    <t>+51912710918</t>
  </si>
  <si>
    <t>11/10/2024 5:44am</t>
  </si>
  <si>
    <t>Gloria Katherine Astolingón Goycochea</t>
  </si>
  <si>
    <t>+51934126780</t>
  </si>
  <si>
    <t>Chepén</t>
  </si>
  <si>
    <t>11/10/2024 4:50pm</t>
  </si>
  <si>
    <t>Diego Velasquez Tasson</t>
  </si>
  <si>
    <t>+51910466244</t>
  </si>
  <si>
    <t>11/10/2024 4:22pm</t>
  </si>
  <si>
    <t>Santiago Pelaez</t>
  </si>
  <si>
    <t>+51991000839</t>
  </si>
  <si>
    <t>11/10/2024 3:41pm</t>
  </si>
  <si>
    <t>Lu Lù</t>
  </si>
  <si>
    <t>+51915253988</t>
  </si>
  <si>
    <t>11/10/2024 2:58pm</t>
  </si>
  <si>
    <t>Ivonne Caceres</t>
  </si>
  <si>
    <t>+51916187262</t>
  </si>
  <si>
    <t>11/10/2024 2:03pm</t>
  </si>
  <si>
    <t>Milagros huaman uriarte</t>
  </si>
  <si>
    <t>+51968450421</t>
  </si>
  <si>
    <t>Chocope</t>
  </si>
  <si>
    <t>11/10/2024 12:13pm</t>
  </si>
  <si>
    <t>José Cisneros</t>
  </si>
  <si>
    <t>+51922871607</t>
  </si>
  <si>
    <t>11/10/2024 1:48pm</t>
  </si>
  <si>
    <t>Norhelia Tiwi</t>
  </si>
  <si>
    <t>+51922069959</t>
  </si>
  <si>
    <t>DEBE BAJAR ENDEUDAMIENTO</t>
  </si>
  <si>
    <t>11/10/2024 1:24pm</t>
  </si>
  <si>
    <t>Eder Gonzales</t>
  </si>
  <si>
    <t>+51964493785</t>
  </si>
  <si>
    <t>MICHELL</t>
  </si>
  <si>
    <t>11/09/2024 7:15pm</t>
  </si>
  <si>
    <t>Ricardo Morales</t>
  </si>
  <si>
    <t>+51921733235</t>
  </si>
  <si>
    <t>11/09/2024 6:53am</t>
  </si>
  <si>
    <t>Norma Elias Davila</t>
  </si>
  <si>
    <t>+51948498385</t>
  </si>
  <si>
    <t>11/09/2024 6:44pm</t>
  </si>
  <si>
    <t>Francisco Joel Barrios Ordoñez</t>
  </si>
  <si>
    <t>+51922158958</t>
  </si>
  <si>
    <t>11/09/2024 6:36am</t>
  </si>
  <si>
    <t>Lali Neri</t>
  </si>
  <si>
    <t>+51931731311</t>
  </si>
  <si>
    <t>11/09/2024 6:03pm</t>
  </si>
  <si>
    <t>Karen Rosillo Preciado</t>
  </si>
  <si>
    <t>+51973997312</t>
  </si>
  <si>
    <t>La Libertad</t>
  </si>
  <si>
    <t>11/09/2024 5:58am</t>
  </si>
  <si>
    <t>katherin Elizabeth Florian Cubas</t>
  </si>
  <si>
    <t>+51941460511</t>
  </si>
  <si>
    <t>11/09/2024 5:39am</t>
  </si>
  <si>
    <t>Fabiola Murrieta Bartra</t>
  </si>
  <si>
    <t>+51960548940</t>
  </si>
  <si>
    <t>11/09/2024 5:08pm</t>
  </si>
  <si>
    <t>Cinthya Flores</t>
  </si>
  <si>
    <t>+51930141757</t>
  </si>
  <si>
    <t>11/09/2024 5:06pm</t>
  </si>
  <si>
    <t>Juan Víctor Medina</t>
  </si>
  <si>
    <t>+51953425177</t>
  </si>
  <si>
    <t>11/09/2024 3:51am</t>
  </si>
  <si>
    <t>Richar Cabrera Garcia</t>
  </si>
  <si>
    <t>+51992070318</t>
  </si>
  <si>
    <t>11/09/2024 2:54am</t>
  </si>
  <si>
    <t>David Martin</t>
  </si>
  <si>
    <t>+51952561925</t>
  </si>
  <si>
    <t>11/09/2024 2:51am</t>
  </si>
  <si>
    <t>Carlos Escalante</t>
  </si>
  <si>
    <t>+51965467772</t>
  </si>
  <si>
    <t>11/09/2024 12:49pm</t>
  </si>
  <si>
    <t>Daniel Alexander Flores Taquiri</t>
  </si>
  <si>
    <t>+51936405537</t>
  </si>
  <si>
    <t>11/09/2024 11:54am</t>
  </si>
  <si>
    <t>Mariano Armando Diaz Toribio</t>
  </si>
  <si>
    <t>+51964288500</t>
  </si>
  <si>
    <t>DNI NO VALIDO</t>
  </si>
  <si>
    <t>-</t>
  </si>
  <si>
    <t>11/09/2024 11:43pm</t>
  </si>
  <si>
    <t>Katherine Esther Mozo Castillo</t>
  </si>
  <si>
    <t>+51923546932</t>
  </si>
  <si>
    <t>11/09/2024 11:15pm</t>
  </si>
  <si>
    <t>Karol</t>
  </si>
  <si>
    <t>+51965366032</t>
  </si>
  <si>
    <t>11/09/2024 10:32pm</t>
  </si>
  <si>
    <t>Jessi Gavidia</t>
  </si>
  <si>
    <t>+51914924094</t>
  </si>
  <si>
    <t>11/09/2024 10:28am</t>
  </si>
  <si>
    <t>Walter B. Chau</t>
  </si>
  <si>
    <t>+51979303805</t>
  </si>
  <si>
    <t>11/09/2024 10:24am</t>
  </si>
  <si>
    <t>CarEli CarEli</t>
  </si>
  <si>
    <t>+51947956016</t>
  </si>
  <si>
    <t>11/09/2024 1:43pm</t>
  </si>
  <si>
    <t>Sandra Gleni Díaz Calderón</t>
  </si>
  <si>
    <t>+51943360786</t>
  </si>
  <si>
    <t>11/08/2024 8:53pm</t>
  </si>
  <si>
    <t>Ángel Reyes Pizarro</t>
  </si>
  <si>
    <t>+51994545150</t>
  </si>
  <si>
    <t>Chiclayo</t>
  </si>
  <si>
    <t>Jannet Villena</t>
  </si>
  <si>
    <t>+51944669922</t>
  </si>
  <si>
    <t>11/08/2024 7:50am</t>
  </si>
  <si>
    <t>Carlos Quispe Gamboa</t>
  </si>
  <si>
    <t>+51943905323</t>
  </si>
  <si>
    <t>11/08/2024 6:56pm</t>
  </si>
  <si>
    <t>Claricsa Vasquez Sanchez</t>
  </si>
  <si>
    <t>+51976238994</t>
  </si>
  <si>
    <t>11/08/2024 6:41pm</t>
  </si>
  <si>
    <t>Enma Vargas Chachapoyas</t>
  </si>
  <si>
    <t>+51979244913</t>
  </si>
  <si>
    <t>11/08/2024 6:35am</t>
  </si>
  <si>
    <t>Judith Agurto</t>
  </si>
  <si>
    <t>Lucivaleday@gmail.com</t>
  </si>
  <si>
    <t>+51934003861</t>
  </si>
  <si>
    <t>PIURA</t>
  </si>
  <si>
    <t>11/08/2024 6:23pm</t>
  </si>
  <si>
    <t>Rous Perez</t>
  </si>
  <si>
    <t>+51952457970</t>
  </si>
  <si>
    <t>11/08/2024 5:33pm</t>
  </si>
  <si>
    <t>Carlos Alberto ruiz reyes</t>
  </si>
  <si>
    <t>+51948330924</t>
  </si>
  <si>
    <t>11/08/2024 5:02pm</t>
  </si>
  <si>
    <t>Jheins Quezada</t>
  </si>
  <si>
    <t>+51991184530</t>
  </si>
  <si>
    <t>11/08/2024 4:43am</t>
  </si>
  <si>
    <t>Natalie Ramírez</t>
  </si>
  <si>
    <t>natalieramirezichinose@gmail.com</t>
  </si>
  <si>
    <t>+51958323521</t>
  </si>
  <si>
    <t>11/08/2024 4:19am</t>
  </si>
  <si>
    <t>Nadia Guerra Catalan</t>
  </si>
  <si>
    <t>catalannadiaa@gmail.com</t>
  </si>
  <si>
    <t>+51947387500</t>
  </si>
  <si>
    <t>11/08/2024 4:17am</t>
  </si>
  <si>
    <t>Pooll Villa Lobos</t>
  </si>
  <si>
    <t>Vvb@hiyh.com</t>
  </si>
  <si>
    <t>+51941322439</t>
  </si>
  <si>
    <t>11/08/2024 4:02pm</t>
  </si>
  <si>
    <t>Jennifer Quiliche</t>
  </si>
  <si>
    <t>+51921204910</t>
  </si>
  <si>
    <t>11/08/2024 3:56pm</t>
  </si>
  <si>
    <t>Max Tarrillo</t>
  </si>
  <si>
    <t>+51964136109</t>
  </si>
  <si>
    <t>11/08/2024 3:53am</t>
  </si>
  <si>
    <t>Scarlett Arias Castillo</t>
  </si>
  <si>
    <t>castillo25brenda@gmail.com</t>
  </si>
  <si>
    <t>+51967245779</t>
  </si>
  <si>
    <t>11/08/2024 3:06pm</t>
  </si>
  <si>
    <t>Sandy Romero</t>
  </si>
  <si>
    <t>+51948984311</t>
  </si>
  <si>
    <t>11/08/2024 2:55pm</t>
  </si>
  <si>
    <t>Stefany Paola marcos Calvo</t>
  </si>
  <si>
    <t>+51989034192</t>
  </si>
  <si>
    <t>11/08/2024 12:09pm</t>
  </si>
  <si>
    <t>martha edilma rodriguez baca</t>
  </si>
  <si>
    <t>+51943902796</t>
  </si>
  <si>
    <t>Cartavio</t>
  </si>
  <si>
    <t>11/08/2024 11:40am</t>
  </si>
  <si>
    <t>Gladys Marlene Alfaro Atoche de Villanueva</t>
  </si>
  <si>
    <t>+51950692294</t>
  </si>
  <si>
    <t>11/08/2024 10:47pm</t>
  </si>
  <si>
    <t>Pilar</t>
  </si>
  <si>
    <t>+51965443550</t>
  </si>
  <si>
    <t>11/08/2024 10:32am</t>
  </si>
  <si>
    <t>Jessica Castillo</t>
  </si>
  <si>
    <t>+51987702966</t>
  </si>
  <si>
    <t>11/08/2024 10:11am</t>
  </si>
  <si>
    <t>Kristell Carranza</t>
  </si>
  <si>
    <t>+51942450086</t>
  </si>
  <si>
    <t>11/08/2024 1:32am</t>
  </si>
  <si>
    <t>Libertad Panduro</t>
  </si>
  <si>
    <t>+51988480839</t>
  </si>
  <si>
    <t>11/07/2024 9:10pm</t>
  </si>
  <si>
    <t>Enrique Mauricio</t>
  </si>
  <si>
    <t>luisgamesmauricio1234@gmail.com</t>
  </si>
  <si>
    <t>+51916281459</t>
  </si>
  <si>
    <t>11/07/2024 6:47pm</t>
  </si>
  <si>
    <t>Maylin Merino Sol</t>
  </si>
  <si>
    <t>+51925618772</t>
  </si>
  <si>
    <t>11/07/2024 6:35am</t>
  </si>
  <si>
    <t>Ray Razuri Romero</t>
  </si>
  <si>
    <t>rrazuri_05@hotmail.com</t>
  </si>
  <si>
    <t>+51949990835</t>
  </si>
  <si>
    <t>11/07/2024 5:14pm</t>
  </si>
  <si>
    <t>Greicy Carolina V. Polo</t>
  </si>
  <si>
    <t>greicycarol_10@hotmail.com</t>
  </si>
  <si>
    <t>+51956512396</t>
  </si>
  <si>
    <t>11/07/2024 5:12pm</t>
  </si>
  <si>
    <t>Maria Teresa Valle Barahona</t>
  </si>
  <si>
    <t>mariavalle1405@gmail.com</t>
  </si>
  <si>
    <t>+51996970429</t>
  </si>
  <si>
    <t>11/07/2024 4:14pm</t>
  </si>
  <si>
    <t>Klein Ram</t>
  </si>
  <si>
    <t>dietmar1994ramirez@gmail.com</t>
  </si>
  <si>
    <t>+51994836286</t>
  </si>
  <si>
    <t>11/07/2024 3:44pm</t>
  </si>
  <si>
    <t>Ronald yerson castillo perez</t>
  </si>
  <si>
    <t>yers_18@hotmail.com</t>
  </si>
  <si>
    <t>+51982100755</t>
  </si>
  <si>
    <t>11/07/2024 3:34pm</t>
  </si>
  <si>
    <t>Nelly Isabel Henriquez Infantes</t>
  </si>
  <si>
    <t>fresia_169@hotmail.com</t>
  </si>
  <si>
    <t>+51952202299</t>
  </si>
  <si>
    <t>11/07/2024 2:40pm</t>
  </si>
  <si>
    <t>Evelyn Saldaña Sáenz</t>
  </si>
  <si>
    <t>evelyn_saenz15@hotmail.com</t>
  </si>
  <si>
    <t>+51978385207</t>
  </si>
  <si>
    <t>11/07/2024 12:49pm</t>
  </si>
  <si>
    <t>Rebeca Saucedo Rubiños</t>
  </si>
  <si>
    <t>rebesaucedo13@gmail.com</t>
  </si>
  <si>
    <t>+51936385057</t>
  </si>
  <si>
    <t>11/07/2024 11:09am</t>
  </si>
  <si>
    <t>Freissy RT</t>
  </si>
  <si>
    <t>lunita_estrella_14@hotmail.com</t>
  </si>
  <si>
    <t>+51976488533</t>
  </si>
  <si>
    <t>11/07/2024 11:04am</t>
  </si>
  <si>
    <t>Segundo Hernando Bautista Jimenez</t>
  </si>
  <si>
    <t>segundobj2016@gmail.com</t>
  </si>
  <si>
    <t>+51943305917</t>
  </si>
  <si>
    <t>11/07/2024 10:39pm</t>
  </si>
  <si>
    <t>Reggina Marcial</t>
  </si>
  <si>
    <t>rm.regina.movistar@gmail.com</t>
  </si>
  <si>
    <t>+51983233064</t>
  </si>
  <si>
    <t>11/07/2024 10:07pm</t>
  </si>
  <si>
    <t>Joaquin Corcuera</t>
  </si>
  <si>
    <t>super29-11@hotmail.com</t>
  </si>
  <si>
    <t>+51942410277</t>
  </si>
  <si>
    <t>11/07/2024 1:11pm</t>
  </si>
  <si>
    <t>Olga Gutiérrez</t>
  </si>
  <si>
    <t>lucelia96@hotmail.com</t>
  </si>
  <si>
    <t>+51914416877</t>
  </si>
  <si>
    <t>Observación</t>
  </si>
  <si>
    <t>Calificación</t>
  </si>
  <si>
    <t>Contreras R. Jessica</t>
  </si>
  <si>
    <t>+51934167539</t>
  </si>
  <si>
    <t>NO CALIFICA POR SCORE</t>
  </si>
  <si>
    <t>Michell</t>
  </si>
  <si>
    <t>Pierina Leonela Suarez Izasiga</t>
  </si>
  <si>
    <t>+51938129536</t>
  </si>
  <si>
    <t>Lis Delgado</t>
  </si>
  <si>
    <t>+51993357007</t>
  </si>
  <si>
    <t xml:space="preserve">Liseth M Ascoy </t>
  </si>
  <si>
    <t>+51962156216</t>
  </si>
  <si>
    <t>De WhatsApp</t>
  </si>
  <si>
    <t xml:space="preserve">Patsy Sheila Desposito </t>
  </si>
  <si>
    <t>+51914128971</t>
  </si>
  <si>
    <t>Solcito</t>
  </si>
  <si>
    <t>+51923581536</t>
  </si>
  <si>
    <t>Erika Esther Manuel</t>
  </si>
  <si>
    <t>+51990609864</t>
  </si>
  <si>
    <t xml:space="preserve">Bea </t>
  </si>
  <si>
    <t>+51923961943</t>
  </si>
  <si>
    <t>Brenda Abanto Malqui</t>
  </si>
  <si>
    <t>+51949700917</t>
  </si>
  <si>
    <t>Luis Cueva Ledezma</t>
  </si>
  <si>
    <t>A Milena Rodríguez</t>
  </si>
  <si>
    <t>+51921232449</t>
  </si>
  <si>
    <t>Liz Abanto Vertiz</t>
  </si>
  <si>
    <t>+51914963168</t>
  </si>
  <si>
    <t>Luz Eleida Vasquez Tineo</t>
  </si>
  <si>
    <t>+51914260505</t>
  </si>
  <si>
    <t>Carlos Enrique Ypanaque Plaza</t>
  </si>
  <si>
    <t>+51953345123</t>
  </si>
  <si>
    <t>Denisse Córdova Jiménez de Valencia</t>
  </si>
  <si>
    <t>+51920826468</t>
  </si>
  <si>
    <t>MAL SBS</t>
  </si>
  <si>
    <t>Alejandra Tejada</t>
  </si>
  <si>
    <t>+51992943083</t>
  </si>
  <si>
    <t>Marino Alvarado Pesantes</t>
  </si>
  <si>
    <t>+51920661826</t>
  </si>
  <si>
    <t>Rocío Benaute</t>
  </si>
  <si>
    <t>+51975197151</t>
  </si>
  <si>
    <t>Frank Flores</t>
  </si>
  <si>
    <t>+51992256299</t>
  </si>
  <si>
    <t>Maria del Pilar Mendoza Rodríguez</t>
  </si>
  <si>
    <t>+51983034802</t>
  </si>
  <si>
    <t>Paredes Castillo Mary</t>
  </si>
  <si>
    <t>+51966130355</t>
  </si>
  <si>
    <t>Liah Rios</t>
  </si>
  <si>
    <t>+51987002575</t>
  </si>
  <si>
    <t>Freddy Ruiz Campos</t>
  </si>
  <si>
    <t>+51963840919</t>
  </si>
  <si>
    <t>Annais Jasinto Recalde</t>
  </si>
  <si>
    <t>+51918498215</t>
  </si>
  <si>
    <t>BAJO SCORE</t>
  </si>
  <si>
    <t>Gorbalan Mayra</t>
  </si>
  <si>
    <t>+51934972769</t>
  </si>
  <si>
    <t>Betsabe Boza Huerta</t>
  </si>
  <si>
    <t>+51961083018</t>
  </si>
  <si>
    <t>Roxana Chávez Aguirre</t>
  </si>
  <si>
    <t>+51953682133</t>
  </si>
  <si>
    <t>William Alvites Castrejón</t>
  </si>
  <si>
    <t>+51932445417</t>
  </si>
  <si>
    <t>Patricia de Carmen Alejandro Chinge</t>
  </si>
  <si>
    <t>+51979610854</t>
  </si>
  <si>
    <t>Olinda Amelia Alana Aguirre</t>
  </si>
  <si>
    <t>+51986304249</t>
  </si>
  <si>
    <t>Leydi Plasencia Gutierrez</t>
  </si>
  <si>
    <t>+51931886527</t>
  </si>
  <si>
    <t>Juan Carlos Huaypuna Velasco</t>
  </si>
  <si>
    <t>+51937119122</t>
  </si>
  <si>
    <t>Graciela Rodriguez Miranda</t>
  </si>
  <si>
    <t>+51902763163</t>
  </si>
  <si>
    <t>BAJO SCORE / MAL SBS</t>
  </si>
  <si>
    <t>Roy Rodríguez</t>
  </si>
  <si>
    <t>+51920445881</t>
  </si>
  <si>
    <t>Leslie Guimac Mendoza</t>
  </si>
  <si>
    <t>+51918917404</t>
  </si>
  <si>
    <t>Carlos Ruiz Valencia</t>
  </si>
  <si>
    <t>+51922584172</t>
  </si>
  <si>
    <t>Anais Melisa Zavaleta Cabanilas</t>
  </si>
  <si>
    <t>+51912344174</t>
  </si>
  <si>
    <t>Phoebe Ramirez</t>
  </si>
  <si>
    <t>+51963876906</t>
  </si>
  <si>
    <t>Kelida Soto</t>
  </si>
  <si>
    <t>+51944382595</t>
  </si>
  <si>
    <t>Melissa Casanova</t>
  </si>
  <si>
    <t>+51922542551</t>
  </si>
  <si>
    <t>Masuli Guevara</t>
  </si>
  <si>
    <t>+51947405322</t>
  </si>
  <si>
    <t>Miguel Angel La Cruz Alberca</t>
  </si>
  <si>
    <t>+51999858831</t>
  </si>
  <si>
    <t>Alejandra Rodríguez</t>
  </si>
  <si>
    <t>+51991002919</t>
  </si>
  <si>
    <t>Estefany Cotera Torrealva</t>
  </si>
  <si>
    <t>+51967311716</t>
  </si>
  <si>
    <t>Engelbert Jesús Mendez</t>
  </si>
  <si>
    <t>+51937501233</t>
  </si>
  <si>
    <t>Marlo Velásquez Ortiz</t>
  </si>
  <si>
    <t>+51977415601</t>
  </si>
  <si>
    <t>HIPOTECARIO VIGENTE</t>
  </si>
  <si>
    <t>Flavio Gallardo</t>
  </si>
  <si>
    <t>+51902186952</t>
  </si>
  <si>
    <t>Dominic Cantuarias</t>
  </si>
  <si>
    <t>+51919551500</t>
  </si>
  <si>
    <t>Glenna Yiadranka</t>
  </si>
  <si>
    <t>+51921993256</t>
  </si>
  <si>
    <t>Maritza Rodriguez Zavaleta</t>
  </si>
  <si>
    <t>+51970393140</t>
  </si>
  <si>
    <t>Cynthia Rodríguez</t>
  </si>
  <si>
    <t>+51951337068</t>
  </si>
  <si>
    <t>Valentina Villena Lazaro</t>
  </si>
  <si>
    <t>+51944176423</t>
  </si>
  <si>
    <t>Angie Espinoza García</t>
  </si>
  <si>
    <t>+51988422537</t>
  </si>
  <si>
    <t>Jose Mogollon</t>
  </si>
  <si>
    <t>+51939066014</t>
  </si>
  <si>
    <t>Chimbote</t>
  </si>
  <si>
    <t>Jonathan Alexander Donnelly Cardoso</t>
  </si>
  <si>
    <t>+51961212928</t>
  </si>
  <si>
    <t>Alejandro J. Ortiz Asto</t>
  </si>
  <si>
    <t>+51940173288</t>
  </si>
  <si>
    <t>Alex Terrones</t>
  </si>
  <si>
    <t>+51970483991</t>
  </si>
  <si>
    <t xml:space="preserve">Javier Galvez Quiroz </t>
  </si>
  <si>
    <t>+51949907273</t>
  </si>
  <si>
    <t>Marilyn Ascencio siccha</t>
  </si>
  <si>
    <t xml:space="preserve">JAN </t>
  </si>
  <si>
    <t>+51944279843</t>
  </si>
  <si>
    <t>Cristian Arturo</t>
  </si>
  <si>
    <t>+51965361193</t>
  </si>
  <si>
    <t xml:space="preserve">Alejandro Javier Ortiz Asto </t>
  </si>
  <si>
    <t>Jimmy abanto zavaleta</t>
  </si>
  <si>
    <t>+51929102785</t>
  </si>
  <si>
    <t>Jose Kcomt</t>
  </si>
  <si>
    <t>+51935889024</t>
  </si>
  <si>
    <t>Elena Casanova</t>
  </si>
  <si>
    <t>+51936101965</t>
  </si>
  <si>
    <t>Emy Prado Fernandez</t>
  </si>
  <si>
    <t>+51977637192</t>
  </si>
  <si>
    <t>•M a r í a Rosario Guzman Guevara</t>
  </si>
  <si>
    <t>+51966740380</t>
  </si>
  <si>
    <t>Jorge Urcia Avalos</t>
  </si>
  <si>
    <t>+51944488117</t>
  </si>
  <si>
    <t>Dalma Nerea Dinora Ipanaqué Llorca</t>
  </si>
  <si>
    <t>+51981519669</t>
  </si>
  <si>
    <t>Eliana Pino</t>
  </si>
  <si>
    <t>+51987324373</t>
  </si>
  <si>
    <t>Lucero Jazmín</t>
  </si>
  <si>
    <t>+51940508158</t>
  </si>
  <si>
    <t>Reaven Jean Claude Urbano Alayo</t>
  </si>
  <si>
    <t>+51935174672</t>
  </si>
  <si>
    <t>Juan Carlos Zárate Altuna</t>
  </si>
  <si>
    <t>+51961002322</t>
  </si>
  <si>
    <t>Roxana Karina Camargo Diaz</t>
  </si>
  <si>
    <t>+51988080295</t>
  </si>
  <si>
    <t>Rosa María Estrada Rebaza</t>
  </si>
  <si>
    <t>+51942141970</t>
  </si>
  <si>
    <t>Leoncio Sagastegui Bazán</t>
  </si>
  <si>
    <t>+51929888452</t>
  </si>
  <si>
    <t>Rosa Cerquin Mejia</t>
  </si>
  <si>
    <t>+51992240235</t>
  </si>
  <si>
    <t>Roxana Gonzales Contreras</t>
  </si>
  <si>
    <t>+51967451495</t>
  </si>
  <si>
    <t>juana reyes villanueva</t>
  </si>
  <si>
    <t>+51949817317</t>
  </si>
  <si>
    <t xml:space="preserve">Bryam Altamirano </t>
  </si>
  <si>
    <t>+51977128705</t>
  </si>
  <si>
    <t>Deisy Alayo</t>
  </si>
  <si>
    <t>+51969159826</t>
  </si>
  <si>
    <t>Dilma Rodriguez</t>
  </si>
  <si>
    <t>+51923992187</t>
  </si>
  <si>
    <t>Chepen</t>
  </si>
  <si>
    <t>Ronald Moroco</t>
  </si>
  <si>
    <t>+51948144008</t>
  </si>
  <si>
    <t>Victor Hipólito</t>
  </si>
  <si>
    <t>+51948829717</t>
  </si>
  <si>
    <t>Casa Grande</t>
  </si>
  <si>
    <t>HElio Oviedo Castro</t>
  </si>
  <si>
    <t>+51991035872</t>
  </si>
  <si>
    <t>Junior Rosales Mercado</t>
  </si>
  <si>
    <t>+51946135823</t>
  </si>
  <si>
    <t>Bryan Victor Sicche Buleje</t>
  </si>
  <si>
    <t>+51960813323</t>
  </si>
  <si>
    <t>Fiorella LR</t>
  </si>
  <si>
    <t>+51965649964</t>
  </si>
  <si>
    <t>Jhoann Agreda</t>
  </si>
  <si>
    <t>+51930840849</t>
  </si>
  <si>
    <t>Brenda Escobar</t>
  </si>
  <si>
    <t>+34603613331</t>
  </si>
  <si>
    <t>Katherine Guzman</t>
  </si>
  <si>
    <t>+51912438617</t>
  </si>
  <si>
    <t>Giovanna Leiva</t>
  </si>
  <si>
    <t>+51988291379</t>
  </si>
  <si>
    <t>Rebe Guzmán</t>
  </si>
  <si>
    <t>+51941158844</t>
  </si>
  <si>
    <t>sandra pumamango</t>
  </si>
  <si>
    <t>+51932046314</t>
  </si>
  <si>
    <t>Rocio Rodriguez</t>
  </si>
  <si>
    <t>+51923639570</t>
  </si>
  <si>
    <t>Laly Avalos</t>
  </si>
  <si>
    <t>+51973373093</t>
  </si>
  <si>
    <t>Marle Cruz Ruiz</t>
  </si>
  <si>
    <t>+51958751997</t>
  </si>
  <si>
    <t>Roxana Valera Garcia</t>
  </si>
  <si>
    <t>+51928396785</t>
  </si>
  <si>
    <t>Rolando C. Sanchez</t>
  </si>
  <si>
    <t>+51975232898</t>
  </si>
  <si>
    <t>Luisa Pizán Garrido</t>
  </si>
  <si>
    <t>+51924685559</t>
  </si>
  <si>
    <t>Julia Jaen Vergara</t>
  </si>
  <si>
    <t>+51981289519</t>
  </si>
  <si>
    <t>Francisco Miguel Rojas Lujan</t>
  </si>
  <si>
    <t>+51959669774</t>
  </si>
  <si>
    <t>Marle Del Rosario Pinzon Chavez</t>
  </si>
  <si>
    <t>+51960494314</t>
  </si>
  <si>
    <t>Lucio Alberto Rosario Martell</t>
  </si>
  <si>
    <t>+51985781356</t>
  </si>
  <si>
    <t>Liz Emyli León</t>
  </si>
  <si>
    <t>+51937579470</t>
  </si>
  <si>
    <t>Jacqueline Salinas Jiménez</t>
  </si>
  <si>
    <t>+51985138615</t>
  </si>
  <si>
    <t>Edgardo Alberto Alcantara Montenegro</t>
  </si>
  <si>
    <t>+51918116674</t>
  </si>
  <si>
    <t>Enrique Mautino</t>
  </si>
  <si>
    <t>+51949356441</t>
  </si>
  <si>
    <t>Espinoza reyes juleisy</t>
  </si>
  <si>
    <t>+51993953375</t>
  </si>
  <si>
    <t>Gilbert Quintana</t>
  </si>
  <si>
    <t>+51962781419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</si>
</sst>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;@"/>
    <numFmt numFmtId="165" formatCode="mm/dd/yyyy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Verdana"/>
      <family val="2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1C2B3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/>
    <xf numFmtId="0" fontId="0" fillId="0" borderId="2" xfId="0" applyBorder="1"/>
    <xf numFmtId="49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3" xfId="0" applyBorder="1"/>
    <xf numFmtId="0" fontId="1" fillId="0" borderId="0" xfId="0" applyFont="1"/>
    <xf numFmtId="164" fontId="0" fillId="0" borderId="4" xfId="0" applyNumberFormat="1" applyBorder="1"/>
    <xf numFmtId="0" fontId="2" fillId="0" borderId="5" xfId="0" applyFont="1" applyBorder="1" applyAlignment="1">
      <alignment horizontal="left"/>
    </xf>
    <xf numFmtId="0" fontId="0" fillId="0" borderId="5" xfId="0" applyBorder="1"/>
    <xf numFmtId="1" fontId="2" fillId="0" borderId="5" xfId="0" applyNumberFormat="1" applyFont="1" applyBorder="1" applyAlignment="1">
      <alignment horizontal="right"/>
    </xf>
    <xf numFmtId="49" fontId="3" fillId="0" borderId="5" xfId="0" applyNumberFormat="1" applyFont="1" applyBorder="1" applyAlignment="1">
      <alignment horizontal="right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49" fontId="0" fillId="0" borderId="5" xfId="0" applyNumberFormat="1" applyBorder="1" applyAlignment="1">
      <alignment horizontal="right"/>
    </xf>
    <xf numFmtId="1" fontId="2" fillId="0" borderId="5" xfId="0" applyNumberFormat="1" applyFont="1" applyBorder="1" applyAlignment="1">
      <alignment horizontal="left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right" vertical="center"/>
    </xf>
    <xf numFmtId="1" fontId="3" fillId="0" borderId="5" xfId="0" applyNumberFormat="1" applyFont="1" applyBorder="1" applyAlignment="1">
      <alignment horizontal="right"/>
    </xf>
    <xf numFmtId="0" fontId="3" fillId="0" borderId="5" xfId="0" applyFont="1" applyBorder="1" applyAlignment="1">
      <alignment horizontal="left"/>
    </xf>
    <xf numFmtId="1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49" fontId="0" fillId="0" borderId="5" xfId="0" applyNumberFormat="1" applyBorder="1" applyAlignment="1">
      <alignment horizontal="right" vertical="top"/>
    </xf>
    <xf numFmtId="0" fontId="5" fillId="0" borderId="5" xfId="0" applyFont="1" applyBorder="1"/>
    <xf numFmtId="164" fontId="0" fillId="0" borderId="7" xfId="0" applyNumberFormat="1" applyBorder="1"/>
    <xf numFmtId="0" fontId="0" fillId="0" borderId="8" xfId="0" applyBorder="1"/>
    <xf numFmtId="1" fontId="3" fillId="0" borderId="8" xfId="0" applyNumberFormat="1" applyFont="1" applyBorder="1" applyAlignment="1">
      <alignment horizontal="right"/>
    </xf>
    <xf numFmtId="0" fontId="3" fillId="0" borderId="8" xfId="0" applyFont="1" applyBorder="1" applyAlignment="1">
      <alignment horizontal="left"/>
    </xf>
    <xf numFmtId="49" fontId="0" fillId="0" borderId="8" xfId="0" applyNumberFormat="1" applyBorder="1" applyAlignment="1">
      <alignment horizontal="right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horizontal="right" vertical="center"/>
    </xf>
    <xf numFmtId="0" fontId="2" fillId="0" borderId="8" xfId="0" applyFont="1" applyBorder="1" applyAlignment="1">
      <alignment horizontal="left"/>
    </xf>
    <xf numFmtId="0" fontId="0" fillId="0" borderId="9" xfId="0" applyBorder="1" applyAlignment="1">
      <alignment horizontal="center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49" fontId="0" fillId="0" borderId="12" xfId="0" applyNumberFormat="1" applyBorder="1" applyAlignment="1">
      <alignment horizontal="left"/>
    </xf>
    <xf numFmtId="0" fontId="0" fillId="0" borderId="10" xfId="0" applyBorder="1" applyAlignment="1">
      <alignment horizontal="left"/>
    </xf>
    <xf numFmtId="165" fontId="0" fillId="0" borderId="5" xfId="0" applyNumberForma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5" xfId="0" applyFont="1" applyBorder="1" applyAlignment="1">
      <alignment horizontal="left" vertical="center"/>
    </xf>
    <xf numFmtId="1" fontId="3" fillId="0" borderId="5" xfId="0" applyNumberFormat="1" applyFont="1" applyBorder="1" applyAlignment="1">
      <alignment horizontal="right" vertical="center"/>
    </xf>
    <xf numFmtId="49" fontId="3" fillId="0" borderId="5" xfId="0" applyNumberFormat="1" applyFont="1" applyBorder="1" applyAlignment="1">
      <alignment horizontal="left" vertical="center"/>
    </xf>
    <xf numFmtId="165" fontId="0" fillId="0" borderId="5" xfId="0" applyNumberFormat="1" applyBorder="1" applyAlignment="1">
      <alignment horizontal="left"/>
    </xf>
    <xf numFmtId="1" fontId="3" fillId="0" borderId="5" xfId="0" applyNumberFormat="1" applyFont="1" applyBorder="1" applyAlignment="1">
      <alignment horizontal="left"/>
    </xf>
    <xf numFmtId="49" fontId="3" fillId="0" borderId="5" xfId="0" applyNumberFormat="1" applyFont="1" applyBorder="1" applyAlignment="1">
      <alignment horizontal="left"/>
    </xf>
    <xf numFmtId="1" fontId="3" fillId="0" borderId="5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horizontal="right" vertical="center"/>
    </xf>
    <xf numFmtId="0" fontId="0" fillId="0" borderId="5" xfId="0" applyBorder="1" applyAlignment="1">
      <alignment horizontal="right"/>
    </xf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mm/dd/yyyy"/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mm/dd/yyyy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D8954F-CE49-4B70-B16C-C75B5245FCDB}" name="Tabla4" displayName="Tabla4" ref="A1:Q147" totalsRowShown="0" headerRowDxfId="41" headerRowBorderDxfId="39" tableBorderDxfId="40" totalsRowBorderDxfId="38">
  <autoFilter ref="A1:Q147" xr:uid="{CB305C52-A0AA-4FB0-9020-9A24755EF449}"/>
  <tableColumns count="17">
    <tableColumn id="1" xr3:uid="{1BA97F08-B8B7-4DDC-BC6B-A8F29EDF6D64}" name="FECHA" dataDxfId="37"/>
    <tableColumn id="2" xr3:uid="{F98259A7-F521-4714-B83D-D1A95DF7F128}" name="Nombre" dataDxfId="36"/>
    <tableColumn id="3" xr3:uid="{B6EAD107-E778-4DD1-B10B-D8D161977BBE}" name="Apellidos" dataDxfId="35"/>
    <tableColumn id="4" xr3:uid="{A8DA0F90-359B-4F7F-86FA-CBB455960081}" name="Identificacion" dataDxfId="34"/>
    <tableColumn id="5" xr3:uid="{C4999B81-1159-4535-A86D-8379445F6BF2}" name="Correo" dataDxfId="33"/>
    <tableColumn id="6" xr3:uid="{A0F3BF90-2285-43E0-89EB-3CF703BD5BD7}" name="Telefono" dataDxfId="32"/>
    <tableColumn id="7" xr3:uid="{D49F1911-FB37-4312-9726-C23A8BF9A551}" name="Celular" dataDxfId="31"/>
    <tableColumn id="8" xr3:uid="{17FB3CA6-0166-4CC6-BD04-128E288A110A}" name="Direccion" dataDxfId="30"/>
    <tableColumn id="9" xr3:uid="{22D43265-42C3-44FC-A9DB-45B2669C74B6}" name="Para cuando??" dataDxfId="29"/>
    <tableColumn id="10" xr3:uid="{E0ECA68F-9BFA-44FE-A0E3-4B375AE15AF2}" name="Interes" dataDxfId="28"/>
    <tableColumn id="11" xr3:uid="{28769F09-A9F0-40F9-9FFF-55A1B48A5299}" name="situacion" dataDxfId="27"/>
    <tableColumn id="12" xr3:uid="{6F8A98B5-6685-4239-8E6C-DE721AE6BA63}" name="%" dataDxfId="26"/>
    <tableColumn id="13" xr3:uid="{4F472650-B4B5-42FB-83AA-3E6B20667EFA}" name="Meses" dataDxfId="25"/>
    <tableColumn id="14" xr3:uid="{8D0B4B65-FB64-4846-8815-A7DFCF834EC4}" name="Score" dataDxfId="24"/>
    <tableColumn id="15" xr3:uid="{424168DE-E9C1-4DB0-9D40-30FBB3B1997D}" name="Banco" dataDxfId="23"/>
    <tableColumn id="16" xr3:uid="{8DFC8A62-A9E2-440A-BC63-555A54462A85}" name="Observación unido" dataDxfId="22">
      <calculatedColumnFormula>_xlfn.CONCAT(I2,CHAR(10),
       IF(AND(K2&lt;&gt;"", L2&lt;&gt;""),
          "Situación: " &amp; K2 &amp; CHAR(10) &amp; "Calificación: " &amp; L2 &amp; "%" &amp; CHAR(10),
          IF(K2&lt;&gt;"",
             "Situación: " &amp; K2 &amp; CHAR(10),
             IF(L2&lt;&gt;"",
                "Calificación: " &amp; L2 &amp; "%" &amp; CHAR(10),
                CHAR(10)))),
       "Meses: ", M2, CHAR(10),
       "Score: ", N2, CHAR(10),
       "Banco: ", O2
)</calculatedColumnFormula>
    </tableColumn>
    <tableColumn id="17" xr3:uid="{5226DB3B-C925-4B5F-AE04-65680FCA1DF1}" name="VENDEDOR" dataDxfId="2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9AF7F4-A42C-4C81-890C-B8A0F35C4039}" name="Tabla3" displayName="Tabla3" ref="A1:Q112" totalsRowShown="0" headerRowDxfId="20" dataDxfId="19" headerRowBorderDxfId="17" tableBorderDxfId="18">
  <autoFilter ref="A1:Q112" xr:uid="{B63149DA-173D-4BC8-B389-625C16656EA8}"/>
  <tableColumns count="17">
    <tableColumn id="1" xr3:uid="{375BFA4E-C3DF-4FF7-9078-D1E996D720DE}" name="FECHA" dataDxfId="16"/>
    <tableColumn id="2" xr3:uid="{FD62B6CF-68C9-4EEF-9208-27BFEF7120BE}" name="Nombre" dataDxfId="15"/>
    <tableColumn id="3" xr3:uid="{3B5E084B-6F15-4ADF-9D69-E3E85DD41D80}" name="Apellidos" dataDxfId="14"/>
    <tableColumn id="4" xr3:uid="{048D50C4-FEA0-4361-A764-86B5A8413430}" name="Identificacion" dataDxfId="13"/>
    <tableColumn id="5" xr3:uid="{90DD9AA4-7685-4D8A-8EAC-DCF5D6D6ACE5}" name="Correo" dataDxfId="12"/>
    <tableColumn id="6" xr3:uid="{F4F427A0-7340-4A17-8CAB-7037D6046CAD}" name="Telefono" dataDxfId="11"/>
    <tableColumn id="7" xr3:uid="{90D7B083-031C-46DC-99F7-830E8B6D7F3F}" name="Celular" dataDxfId="10"/>
    <tableColumn id="8" xr3:uid="{CCDB2B0C-031E-4250-9335-E5D4C6706152}" name="Direccion" dataDxfId="9"/>
    <tableColumn id="16" xr3:uid="{CA72B76D-3062-418E-8519-B47D82A2ED4C}" name="Observación" dataDxfId="8">
      <calculatedColumnFormula>_xlfn.CONCAT(P2,CHAR(10),
       IF(AND(O2&lt;&gt;"", K2&lt;&gt;""),
          "Situación: " &amp; O2 &amp; CHAR(10) &amp; "Calificación: " &amp; K2 &amp; "%" &amp; CHAR(10),
          IF(O2&lt;&gt;"",
             "Situación: " &amp; O2 &amp; CHAR(10),
             IF(K2&lt;&gt;"",
                "Calificación: " &amp; K2 &amp; "%" &amp; CHAR(10),
                CHAR(10)))),
       "Meses: ", L2, CHAR(10),
       "Score: ", M2, CHAR(10),
       "Banco: ", N2
)</calculatedColumnFormula>
    </tableColumn>
    <tableColumn id="10" xr3:uid="{009EB1A1-8352-427D-AB53-FAE6C8DA9F95}" name="Interes" dataDxfId="7"/>
    <tableColumn id="12" xr3:uid="{CA7566D4-0707-4B03-81BE-93ED92F33D1A}" name="Calificación" dataDxfId="6"/>
    <tableColumn id="13" xr3:uid="{E749095C-A662-4FD1-863E-D03F41737CF7}" name="Meses" dataDxfId="5"/>
    <tableColumn id="14" xr3:uid="{E960D298-611B-4904-9118-5D45C835F7EF}" name="Score" dataDxfId="4"/>
    <tableColumn id="15" xr3:uid="{03C7D061-EFFA-4E00-B2D2-4F5AE9C9A13E}" name="Banco" dataDxfId="3"/>
    <tableColumn id="11" xr3:uid="{1AAC4297-57EA-4660-A717-A6FE595F1452}" name="situacion" dataDxfId="2"/>
    <tableColumn id="9" xr3:uid="{B1FC2180-7E98-4308-87A1-7CE7C2355104}" name="Para cuando??" dataDxfId="1"/>
    <tableColumn id="17" xr3:uid="{E494B657-7E64-43BC-9002-5311E927F9A5}" name="VENDEDOR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2B56A-3EED-4777-A95D-9F3D179EB3A9}">
  <dimension ref="A1:S162"/>
  <sheetViews>
    <sheetView tabSelected="1" zoomScale="85" zoomScaleNormal="85" workbookViewId="0">
      <selection activeCell="V63" sqref="V63"/>
    </sheetView>
  </sheetViews>
  <sheetFormatPr baseColWidth="10" defaultRowHeight="15" x14ac:dyDescent="0.25"/>
  <cols>
    <col min="1" max="1" width="19.85546875" bestFit="1" customWidth="1"/>
    <col min="2" max="2" width="35.140625" customWidth="1"/>
    <col min="3" max="3" width="12.140625" customWidth="1"/>
    <col min="4" max="4" width="16" customWidth="1"/>
    <col min="5" max="5" width="37" bestFit="1" customWidth="1"/>
    <col min="7" max="7" width="15.28515625" style="33" customWidth="1"/>
    <col min="8" max="8" width="19.7109375" bestFit="1" customWidth="1"/>
    <col min="9" max="9" width="25.28515625" bestFit="1" customWidth="1"/>
    <col min="10" max="10" width="10.42578125" bestFit="1" customWidth="1"/>
    <col min="11" max="11" width="28.140625" bestFit="1" customWidth="1"/>
    <col min="12" max="12" width="12.85546875" bestFit="1" customWidth="1"/>
    <col min="13" max="13" width="9.85546875" bestFit="1" customWidth="1"/>
    <col min="14" max="14" width="8.7109375" bestFit="1" customWidth="1"/>
    <col min="15" max="15" width="9.42578125" bestFit="1" customWidth="1"/>
    <col min="16" max="16" width="20.28515625" style="34" customWidth="1"/>
    <col min="17" max="17" width="13.5703125" bestFit="1" customWidth="1"/>
    <col min="18" max="18" width="5.7109375" customWidth="1"/>
  </cols>
  <sheetData>
    <row r="1" spans="1:17" s="6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5" t="s">
        <v>16</v>
      </c>
    </row>
    <row r="2" spans="1:17" s="6" customFormat="1" x14ac:dyDescent="0.25">
      <c r="A2" s="7" t="s">
        <v>17</v>
      </c>
      <c r="B2" s="8" t="s">
        <v>18</v>
      </c>
      <c r="C2" s="9"/>
      <c r="D2" s="10">
        <v>70773722</v>
      </c>
      <c r="E2" s="8" t="s">
        <v>19</v>
      </c>
      <c r="F2" s="9"/>
      <c r="G2" s="11" t="s">
        <v>20</v>
      </c>
      <c r="H2" s="8" t="s">
        <v>21</v>
      </c>
      <c r="I2" s="9" t="s">
        <v>22</v>
      </c>
      <c r="J2" s="9"/>
      <c r="K2" s="9"/>
      <c r="L2" s="9"/>
      <c r="M2" s="9" t="s">
        <v>23</v>
      </c>
      <c r="N2" s="9"/>
      <c r="O2" s="9"/>
      <c r="P2" s="8" t="str">
        <f>_xlfn.CONCAT(I2,CHAR(10),
       IF(AND(K2&lt;&gt;"", L2&lt;&gt;""),
          "Situación: " &amp; K2 &amp; CHAR(10) &amp; "Calificación: " &amp; L2 &amp; "%" &amp; CHAR(10),
          IF(K2&lt;&gt;"",
             "Situación: " &amp; K2 &amp; CHAR(10),
             IF(L2&lt;&gt;"",
                "Calificación: " &amp; L2 &amp; "%" &amp; CHAR(10),
                CHAR(10)))),
       "Meses: ", M2, CHAR(10),
       "Score: ", N2, CHAR(10),
       "Banco: ", O2
)</f>
        <v xml:space="preserve">Para diciembre de este año
Meses: 
Score: 
Banco: </v>
      </c>
      <c r="Q2" s="12" t="s">
        <v>24</v>
      </c>
    </row>
    <row r="3" spans="1:17" s="6" customFormat="1" x14ac:dyDescent="0.25">
      <c r="A3" s="7" t="s">
        <v>25</v>
      </c>
      <c r="B3" s="8" t="s">
        <v>26</v>
      </c>
      <c r="C3" s="9"/>
      <c r="D3" s="10">
        <v>18109331</v>
      </c>
      <c r="E3" s="8" t="s">
        <v>27</v>
      </c>
      <c r="F3" s="9"/>
      <c r="G3" s="11" t="s">
        <v>28</v>
      </c>
      <c r="H3" s="8" t="s">
        <v>21</v>
      </c>
      <c r="I3" s="9" t="s">
        <v>29</v>
      </c>
      <c r="J3" s="9"/>
      <c r="K3" s="9"/>
      <c r="L3" s="9"/>
      <c r="M3" s="9" t="s">
        <v>23</v>
      </c>
      <c r="N3" s="9"/>
      <c r="O3" s="9"/>
      <c r="P3" s="8" t="str">
        <f>_xlfn.CONCAT(I3,CHAR(10),
       IF(AND(K3&lt;&gt;"", L3&lt;&gt;""),
          "Situación: " &amp; K3 &amp; CHAR(10) &amp; "Calificación: " &amp; L3 &amp; "%" &amp; CHAR(10),
          IF(K3&lt;&gt;"",
             "Situación: " &amp; K3 &amp; CHAR(10),
             IF(L3&lt;&gt;"",
                "Calificación: " &amp; L3 &amp; "%" &amp; CHAR(10),
                CHAR(10)))),
       "Meses: ", M3, CHAR(10),
       "Score: ", N3, CHAR(10),
       "Banco: ", O3
)</f>
        <v xml:space="preserve">Lo mas pronto
Meses: 
Score: 
Banco: </v>
      </c>
      <c r="Q3" s="13" t="s">
        <v>24</v>
      </c>
    </row>
    <row r="4" spans="1:17" s="6" customFormat="1" x14ac:dyDescent="0.25">
      <c r="A4" s="7" t="s">
        <v>30</v>
      </c>
      <c r="B4" s="8" t="s">
        <v>31</v>
      </c>
      <c r="C4" s="9"/>
      <c r="D4" s="10">
        <v>45044521</v>
      </c>
      <c r="E4" s="8" t="s">
        <v>32</v>
      </c>
      <c r="F4" s="9"/>
      <c r="G4" s="11" t="s">
        <v>33</v>
      </c>
      <c r="H4" s="8" t="s">
        <v>21</v>
      </c>
      <c r="I4" s="9" t="s">
        <v>34</v>
      </c>
      <c r="J4" s="9"/>
      <c r="K4" s="9"/>
      <c r="L4" s="9"/>
      <c r="M4" s="9" t="s">
        <v>23</v>
      </c>
      <c r="N4" s="9"/>
      <c r="O4" s="9"/>
      <c r="P4" s="8" t="str">
        <f>_xlfn.CONCAT(I4,CHAR(10),
       IF(AND(K4&lt;&gt;"", L4&lt;&gt;""),
          "Situación: " &amp; K4 &amp; CHAR(10) &amp; "Calificación: " &amp; L4 &amp; "%" &amp; CHAR(10),
          IF(K4&lt;&gt;"",
             "Situación: " &amp; K4 &amp; CHAR(10),
             IF(L4&lt;&gt;"",
                "Calificación: " &amp; L4 &amp; "%" &amp; CHAR(10),
                CHAR(10)))),
       "Meses: ", M4, CHAR(10),
       "Score: ", N4, CHAR(10),
       "Banco: ", O4
)</f>
        <v xml:space="preserve">El próximo año
Meses: 
Score: 
Banco: </v>
      </c>
      <c r="Q4" s="13" t="s">
        <v>24</v>
      </c>
    </row>
    <row r="5" spans="1:17" s="6" customFormat="1" x14ac:dyDescent="0.25">
      <c r="A5" s="7" t="s">
        <v>35</v>
      </c>
      <c r="B5" s="9" t="s">
        <v>36</v>
      </c>
      <c r="C5" s="9"/>
      <c r="D5" s="10">
        <v>70008474</v>
      </c>
      <c r="E5" s="9" t="s">
        <v>37</v>
      </c>
      <c r="F5" s="9"/>
      <c r="G5" s="14" t="s">
        <v>38</v>
      </c>
      <c r="H5" s="8"/>
      <c r="I5" s="9" t="s">
        <v>39</v>
      </c>
      <c r="J5" s="9"/>
      <c r="K5" s="9"/>
      <c r="L5" s="9"/>
      <c r="M5" s="9" t="s">
        <v>23</v>
      </c>
      <c r="N5" s="9"/>
      <c r="O5" s="9"/>
      <c r="P5" s="8" t="str">
        <f>_xlfn.CONCAT(I5,CHAR(10),
       IF(AND(K5&lt;&gt;"", L5&lt;&gt;""),
          "Situación: " &amp; K5 &amp; CHAR(10) &amp; "Calificación: " &amp; L5 &amp; "%" &amp; CHAR(10),
          IF(K5&lt;&gt;"",
             "Situación: " &amp; K5 &amp; CHAR(10),
             IF(L5&lt;&gt;"",
                "Calificación: " &amp; L5 &amp; "%" &amp; CHAR(10),
                CHAR(10)))),
       "Meses: ", M5, CHAR(10),
       "Score: ", N5, CHAR(10),
       "Banco: ", O5
)</f>
        <v xml:space="preserve">Directo a Whatsapp
Meses: 
Score: 
Banco: </v>
      </c>
      <c r="Q5" s="13" t="s">
        <v>24</v>
      </c>
    </row>
    <row r="6" spans="1:17" s="6" customFormat="1" x14ac:dyDescent="0.25">
      <c r="A6" s="7" t="s">
        <v>40</v>
      </c>
      <c r="B6" s="8" t="s">
        <v>41</v>
      </c>
      <c r="C6" s="9"/>
      <c r="D6" s="10">
        <v>43160990</v>
      </c>
      <c r="E6" s="8" t="s">
        <v>42</v>
      </c>
      <c r="F6" s="9"/>
      <c r="G6" s="11" t="s">
        <v>43</v>
      </c>
      <c r="H6" s="8" t="s">
        <v>21</v>
      </c>
      <c r="I6" s="9" t="s">
        <v>29</v>
      </c>
      <c r="J6" s="9"/>
      <c r="K6" s="9"/>
      <c r="L6" s="9"/>
      <c r="M6" s="9" t="s">
        <v>23</v>
      </c>
      <c r="N6" s="9"/>
      <c r="O6" s="9"/>
      <c r="P6" s="8" t="str">
        <f>_xlfn.CONCAT(I6,CHAR(10),
       IF(AND(K6&lt;&gt;"", L6&lt;&gt;""),
          "Situación: " &amp; K6 &amp; CHAR(10) &amp; "Calificación: " &amp; L6 &amp; "%" &amp; CHAR(10),
          IF(K6&lt;&gt;"",
             "Situación: " &amp; K6 &amp; CHAR(10),
             IF(L6&lt;&gt;"",
                "Calificación: " &amp; L6 &amp; "%" &amp; CHAR(10),
                CHAR(10)))),
       "Meses: ", M6, CHAR(10),
       "Score: ", N6, CHAR(10),
       "Banco: ", O6
)</f>
        <v xml:space="preserve">Lo mas pronto
Meses: 
Score: 
Banco: </v>
      </c>
      <c r="Q6" s="13" t="s">
        <v>24</v>
      </c>
    </row>
    <row r="7" spans="1:17" x14ac:dyDescent="0.25">
      <c r="A7" s="7" t="s">
        <v>44</v>
      </c>
      <c r="B7" s="8" t="s">
        <v>45</v>
      </c>
      <c r="C7" s="9"/>
      <c r="D7" s="10">
        <v>7268015</v>
      </c>
      <c r="E7" s="8" t="s">
        <v>46</v>
      </c>
      <c r="F7" s="9"/>
      <c r="G7" s="11" t="s">
        <v>47</v>
      </c>
      <c r="H7" s="8" t="s">
        <v>48</v>
      </c>
      <c r="I7" s="9" t="s">
        <v>29</v>
      </c>
      <c r="J7" s="9"/>
      <c r="K7" s="9"/>
      <c r="L7" s="9"/>
      <c r="M7" s="9" t="s">
        <v>23</v>
      </c>
      <c r="N7" s="9"/>
      <c r="O7" s="9"/>
      <c r="P7" s="8" t="str">
        <f>_xlfn.CONCAT(I7,CHAR(10),
       IF(AND(K7&lt;&gt;"", L7&lt;&gt;""),
          "Situación: " &amp; K7 &amp; CHAR(10) &amp; "Calificación: " &amp; L7 &amp; "%" &amp; CHAR(10),
          IF(K7&lt;&gt;"",
             "Situación: " &amp; K7 &amp; CHAR(10),
             IF(L7&lt;&gt;"",
                "Calificación: " &amp; L7 &amp; "%" &amp; CHAR(10),
                CHAR(10)))),
       "Meses: ", M7, CHAR(10),
       "Score: ", N7, CHAR(10),
       "Banco: ", O7
)</f>
        <v xml:space="preserve">Lo mas pronto
Meses: 
Score: 
Banco: </v>
      </c>
      <c r="Q7" s="13" t="s">
        <v>24</v>
      </c>
    </row>
    <row r="8" spans="1:17" x14ac:dyDescent="0.25">
      <c r="A8" s="7" t="s">
        <v>49</v>
      </c>
      <c r="B8" s="9" t="s">
        <v>50</v>
      </c>
      <c r="C8" s="9"/>
      <c r="D8" s="10">
        <v>70619152</v>
      </c>
      <c r="E8" s="8" t="s">
        <v>51</v>
      </c>
      <c r="F8" s="9"/>
      <c r="G8" s="14" t="s">
        <v>52</v>
      </c>
      <c r="H8" s="8" t="s">
        <v>21</v>
      </c>
      <c r="I8" s="9" t="s">
        <v>34</v>
      </c>
      <c r="J8" s="9"/>
      <c r="K8" s="9"/>
      <c r="L8" s="9"/>
      <c r="M8" s="9" t="s">
        <v>23</v>
      </c>
      <c r="N8" s="9"/>
      <c r="O8" s="9"/>
      <c r="P8" s="8" t="str">
        <f>_xlfn.CONCAT(I8,CHAR(10),
       IF(AND(K8&lt;&gt;"", L8&lt;&gt;""),
          "Situación: " &amp; K8 &amp; CHAR(10) &amp; "Calificación: " &amp; L8 &amp; "%" &amp; CHAR(10),
          IF(K8&lt;&gt;"",
             "Situación: " &amp; K8 &amp; CHAR(10),
             IF(L8&lt;&gt;"",
                "Calificación: " &amp; L8 &amp; "%" &amp; CHAR(10),
                CHAR(10)))),
       "Meses: ", M8, CHAR(10),
       "Score: ", N8, CHAR(10),
       "Banco: ", O8
)</f>
        <v xml:space="preserve">El próximo año
Meses: 
Score: 
Banco: </v>
      </c>
      <c r="Q8" s="13" t="s">
        <v>53</v>
      </c>
    </row>
    <row r="9" spans="1:17" x14ac:dyDescent="0.25">
      <c r="A9" s="7" t="s">
        <v>54</v>
      </c>
      <c r="B9" s="8" t="s">
        <v>55</v>
      </c>
      <c r="C9" s="9"/>
      <c r="D9" s="10">
        <v>47584759</v>
      </c>
      <c r="E9" s="8" t="s">
        <v>56</v>
      </c>
      <c r="F9" s="9"/>
      <c r="G9" s="11" t="s">
        <v>57</v>
      </c>
      <c r="H9" s="8" t="s">
        <v>21</v>
      </c>
      <c r="I9" s="9" t="s">
        <v>29</v>
      </c>
      <c r="J9" s="9"/>
      <c r="K9" s="9"/>
      <c r="L9" s="9"/>
      <c r="M9" s="9" t="s">
        <v>23</v>
      </c>
      <c r="N9" s="9"/>
      <c r="O9" s="9"/>
      <c r="P9" s="8" t="str">
        <f>_xlfn.CONCAT(I9,CHAR(10),
       IF(AND(K9&lt;&gt;"", L9&lt;&gt;""),
          "Situación: " &amp; K9 &amp; CHAR(10) &amp; "Calificación: " &amp; L9 &amp; "%" &amp; CHAR(10),
          IF(K9&lt;&gt;"",
             "Situación: " &amp; K9 &amp; CHAR(10),
             IF(L9&lt;&gt;"",
                "Calificación: " &amp; L9 &amp; "%" &amp; CHAR(10),
                CHAR(10)))),
       "Meses: ", M9, CHAR(10),
       "Score: ", N9, CHAR(10),
       "Banco: ", O9
)</f>
        <v xml:space="preserve">Lo mas pronto
Meses: 
Score: 
Banco: </v>
      </c>
      <c r="Q9" s="13" t="s">
        <v>24</v>
      </c>
    </row>
    <row r="10" spans="1:17" x14ac:dyDescent="0.25">
      <c r="A10" s="7" t="s">
        <v>58</v>
      </c>
      <c r="B10" s="9" t="s">
        <v>59</v>
      </c>
      <c r="C10" s="9"/>
      <c r="D10" s="10">
        <v>73499988</v>
      </c>
      <c r="E10" s="9" t="s">
        <v>60</v>
      </c>
      <c r="F10" s="9"/>
      <c r="G10" s="14" t="s">
        <v>61</v>
      </c>
      <c r="H10" s="8"/>
      <c r="I10" s="9" t="s">
        <v>39</v>
      </c>
      <c r="J10" s="9"/>
      <c r="K10" s="9"/>
      <c r="L10" s="9"/>
      <c r="M10" s="9" t="s">
        <v>23</v>
      </c>
      <c r="N10" s="9"/>
      <c r="O10" s="9"/>
      <c r="P10" s="8" t="str">
        <f>_xlfn.CONCAT(I10,CHAR(10),
       IF(AND(K10&lt;&gt;"", L10&lt;&gt;""),
          "Situación: " &amp; K10 &amp; CHAR(10) &amp; "Calificación: " &amp; L10 &amp; "%" &amp; CHAR(10),
          IF(K10&lt;&gt;"",
             "Situación: " &amp; K10 &amp; CHAR(10),
             IF(L10&lt;&gt;"",
                "Calificación: " &amp; L10 &amp; "%" &amp; CHAR(10),
                CHAR(10)))),
       "Meses: ", M10, CHAR(10),
       "Score: ", N10, CHAR(10),
       "Banco: ", O10
)</f>
        <v xml:space="preserve">Directo a Whatsapp
Meses: 
Score: 
Banco: </v>
      </c>
      <c r="Q10" s="13" t="s">
        <v>24</v>
      </c>
    </row>
    <row r="11" spans="1:17" x14ac:dyDescent="0.25">
      <c r="A11" s="7" t="s">
        <v>62</v>
      </c>
      <c r="B11" s="9" t="s">
        <v>63</v>
      </c>
      <c r="C11" s="9"/>
      <c r="D11" s="10">
        <v>47507311</v>
      </c>
      <c r="E11" s="9" t="s">
        <v>64</v>
      </c>
      <c r="F11" s="9"/>
      <c r="G11" s="14" t="s">
        <v>65</v>
      </c>
      <c r="H11" s="8" t="s">
        <v>21</v>
      </c>
      <c r="I11" s="9" t="s">
        <v>29</v>
      </c>
      <c r="J11" s="9"/>
      <c r="K11" s="9"/>
      <c r="L11" s="9"/>
      <c r="M11" s="9" t="s">
        <v>23</v>
      </c>
      <c r="N11" s="9"/>
      <c r="O11" s="9"/>
      <c r="P11" s="8" t="str">
        <f>_xlfn.CONCAT(I11,CHAR(10),
       IF(AND(K11&lt;&gt;"", L11&lt;&gt;""),
          "Situación: " &amp; K11 &amp; CHAR(10) &amp; "Calificación: " &amp; L11 &amp; "%" &amp; CHAR(10),
          IF(K11&lt;&gt;"",
             "Situación: " &amp; K11 &amp; CHAR(10),
             IF(L11&lt;&gt;"",
                "Calificación: " &amp; L11 &amp; "%" &amp; CHAR(10),
                CHAR(10)))),
       "Meses: ", M11, CHAR(10),
       "Score: ", N11, CHAR(10),
       "Banco: ", O11
)</f>
        <v xml:space="preserve">Lo mas pronto
Meses: 
Score: 
Banco: </v>
      </c>
      <c r="Q11" s="13" t="s">
        <v>24</v>
      </c>
    </row>
    <row r="12" spans="1:17" x14ac:dyDescent="0.25">
      <c r="A12" s="7" t="s">
        <v>66</v>
      </c>
      <c r="B12" s="9" t="s">
        <v>67</v>
      </c>
      <c r="C12" s="9"/>
      <c r="D12" s="10">
        <v>48154517</v>
      </c>
      <c r="E12" s="9" t="s">
        <v>68</v>
      </c>
      <c r="F12" s="9"/>
      <c r="G12" s="14" t="s">
        <v>69</v>
      </c>
      <c r="H12" s="8" t="s">
        <v>21</v>
      </c>
      <c r="I12" s="9" t="s">
        <v>29</v>
      </c>
      <c r="J12" s="9"/>
      <c r="K12" s="9"/>
      <c r="L12" s="9"/>
      <c r="M12" s="9" t="s">
        <v>23</v>
      </c>
      <c r="N12" s="9"/>
      <c r="O12" s="9"/>
      <c r="P12" s="8" t="str">
        <f>_xlfn.CONCAT(I12,CHAR(10),
       IF(AND(K12&lt;&gt;"", L12&lt;&gt;""),
          "Situación: " &amp; K12 &amp; CHAR(10) &amp; "Calificación: " &amp; L12 &amp; "%" &amp; CHAR(10),
          IF(K12&lt;&gt;"",
             "Situación: " &amp; K12 &amp; CHAR(10),
             IF(L12&lt;&gt;"",
                "Calificación: " &amp; L12 &amp; "%" &amp; CHAR(10),
                CHAR(10)))),
       "Meses: ", M12, CHAR(10),
       "Score: ", N12, CHAR(10),
       "Banco: ", O12
)</f>
        <v xml:space="preserve">Lo mas pronto
Meses: 
Score: 
Banco: </v>
      </c>
      <c r="Q12" s="13" t="s">
        <v>24</v>
      </c>
    </row>
    <row r="13" spans="1:17" s="6" customFormat="1" x14ac:dyDescent="0.25">
      <c r="A13" s="7" t="s">
        <v>70</v>
      </c>
      <c r="B13" s="9" t="s">
        <v>71</v>
      </c>
      <c r="C13" s="9"/>
      <c r="D13" s="10">
        <v>73679617</v>
      </c>
      <c r="E13" s="9" t="s">
        <v>72</v>
      </c>
      <c r="F13" s="9"/>
      <c r="G13" s="14" t="s">
        <v>73</v>
      </c>
      <c r="H13" s="8" t="s">
        <v>21</v>
      </c>
      <c r="I13" s="9" t="s">
        <v>34</v>
      </c>
      <c r="J13" s="9"/>
      <c r="K13" s="9"/>
      <c r="L13" s="9"/>
      <c r="M13" s="9" t="s">
        <v>23</v>
      </c>
      <c r="N13" s="9"/>
      <c r="O13" s="9"/>
      <c r="P13" s="8" t="str">
        <f>_xlfn.CONCAT(I13,CHAR(10),
       IF(AND(K13&lt;&gt;"", L13&lt;&gt;""),
          "Situación: " &amp; K13 &amp; CHAR(10) &amp; "Calificación: " &amp; L13 &amp; "%" &amp; CHAR(10),
          IF(K13&lt;&gt;"",
             "Situación: " &amp; K13 &amp; CHAR(10),
             IF(L13&lt;&gt;"",
                "Calificación: " &amp; L13 &amp; "%" &amp; CHAR(10),
                CHAR(10)))),
       "Meses: ", M13, CHAR(10),
       "Score: ", N13, CHAR(10),
       "Banco: ", O13
)</f>
        <v xml:space="preserve">El próximo año
Meses: 
Score: 
Banco: </v>
      </c>
      <c r="Q13" s="13" t="s">
        <v>24</v>
      </c>
    </row>
    <row r="14" spans="1:17" s="6" customFormat="1" x14ac:dyDescent="0.25">
      <c r="A14" s="7" t="s">
        <v>74</v>
      </c>
      <c r="B14" s="8" t="s">
        <v>75</v>
      </c>
      <c r="C14" s="9"/>
      <c r="D14" s="10">
        <v>9596914</v>
      </c>
      <c r="E14" s="8" t="s">
        <v>76</v>
      </c>
      <c r="F14" s="9"/>
      <c r="G14" s="11" t="s">
        <v>77</v>
      </c>
      <c r="H14" s="8" t="s">
        <v>78</v>
      </c>
      <c r="I14" s="9" t="s">
        <v>22</v>
      </c>
      <c r="J14" s="9"/>
      <c r="K14" s="9"/>
      <c r="L14" s="9"/>
      <c r="M14" s="9" t="s">
        <v>23</v>
      </c>
      <c r="N14" s="9"/>
      <c r="O14" s="9"/>
      <c r="P14" s="8" t="str">
        <f>_xlfn.CONCAT(I14,CHAR(10),
       IF(AND(K14&lt;&gt;"", L14&lt;&gt;""),
          "Situación: " &amp; K14 &amp; CHAR(10) &amp; "Calificación: " &amp; L14 &amp; "%" &amp; CHAR(10),
          IF(K14&lt;&gt;"",
             "Situación: " &amp; K14 &amp; CHAR(10),
             IF(L14&lt;&gt;"",
                "Calificación: " &amp; L14 &amp; "%" &amp; CHAR(10),
                CHAR(10)))),
       "Meses: ", M14, CHAR(10),
       "Score: ", N14, CHAR(10),
       "Banco: ", O14
)</f>
        <v xml:space="preserve">Para diciembre de este año
Meses: 
Score: 
Banco: </v>
      </c>
      <c r="Q14" s="13" t="s">
        <v>24</v>
      </c>
    </row>
    <row r="15" spans="1:17" s="6" customFormat="1" x14ac:dyDescent="0.25">
      <c r="A15" s="7" t="s">
        <v>79</v>
      </c>
      <c r="B15" s="9" t="s">
        <v>80</v>
      </c>
      <c r="C15" s="9"/>
      <c r="D15" s="10">
        <v>72278740</v>
      </c>
      <c r="E15" s="9" t="s">
        <v>81</v>
      </c>
      <c r="F15" s="9"/>
      <c r="G15" s="14" t="s">
        <v>82</v>
      </c>
      <c r="H15" s="8"/>
      <c r="I15" s="9" t="s">
        <v>39</v>
      </c>
      <c r="J15" s="9"/>
      <c r="K15" s="9"/>
      <c r="L15" s="9"/>
      <c r="M15" s="9" t="s">
        <v>23</v>
      </c>
      <c r="N15" s="9"/>
      <c r="O15" s="9"/>
      <c r="P15" s="8" t="str">
        <f>_xlfn.CONCAT(I15,CHAR(10),
       IF(AND(K15&lt;&gt;"", L15&lt;&gt;""),
          "Situación: " &amp; K15 &amp; CHAR(10) &amp; "Calificación: " &amp; L15 &amp; "%" &amp; CHAR(10),
          IF(K15&lt;&gt;"",
             "Situación: " &amp; K15 &amp; CHAR(10),
             IF(L15&lt;&gt;"",
                "Calificación: " &amp; L15 &amp; "%" &amp; CHAR(10),
                CHAR(10)))),
       "Meses: ", M15, CHAR(10),
       "Score: ", N15, CHAR(10),
       "Banco: ", O15
)</f>
        <v xml:space="preserve">Directo a Whatsapp
Meses: 
Score: 
Banco: </v>
      </c>
      <c r="Q15" s="13" t="s">
        <v>24</v>
      </c>
    </row>
    <row r="16" spans="1:17" s="6" customFormat="1" x14ac:dyDescent="0.25">
      <c r="A16" s="7" t="s">
        <v>83</v>
      </c>
      <c r="B16" s="8" t="s">
        <v>84</v>
      </c>
      <c r="C16" s="9"/>
      <c r="D16" s="10">
        <v>40233520</v>
      </c>
      <c r="E16" s="8" t="s">
        <v>85</v>
      </c>
      <c r="F16" s="9"/>
      <c r="G16" s="11" t="s">
        <v>86</v>
      </c>
      <c r="H16" s="8" t="s">
        <v>87</v>
      </c>
      <c r="I16" s="9" t="s">
        <v>34</v>
      </c>
      <c r="J16" s="9"/>
      <c r="K16" s="9"/>
      <c r="L16" s="9"/>
      <c r="M16" s="9" t="s">
        <v>23</v>
      </c>
      <c r="N16" s="9"/>
      <c r="O16" s="9"/>
      <c r="P16" s="8" t="str">
        <f>_xlfn.CONCAT(I16,CHAR(10),
       IF(AND(K16&lt;&gt;"", L16&lt;&gt;""),
          "Situación: " &amp; K16 &amp; CHAR(10) &amp; "Calificación: " &amp; L16 &amp; "%" &amp; CHAR(10),
          IF(K16&lt;&gt;"",
             "Situación: " &amp; K16 &amp; CHAR(10),
             IF(L16&lt;&gt;"",
                "Calificación: " &amp; L16 &amp; "%" &amp; CHAR(10),
                CHAR(10)))),
       "Meses: ", M16, CHAR(10),
       "Score: ", N16, CHAR(10),
       "Banco: ", O16
)</f>
        <v xml:space="preserve">El próximo año
Meses: 
Score: 
Banco: </v>
      </c>
      <c r="Q16" s="13" t="s">
        <v>24</v>
      </c>
    </row>
    <row r="17" spans="1:17" x14ac:dyDescent="0.25">
      <c r="A17" s="7" t="s">
        <v>88</v>
      </c>
      <c r="B17" s="9" t="s">
        <v>89</v>
      </c>
      <c r="C17" s="9"/>
      <c r="D17" s="10">
        <v>3367455</v>
      </c>
      <c r="E17" s="9" t="s">
        <v>90</v>
      </c>
      <c r="F17" s="9"/>
      <c r="G17" s="14" t="s">
        <v>91</v>
      </c>
      <c r="H17" s="8" t="s">
        <v>92</v>
      </c>
      <c r="I17" s="9" t="s">
        <v>34</v>
      </c>
      <c r="J17" s="9"/>
      <c r="K17" s="9"/>
      <c r="L17" s="9"/>
      <c r="M17" s="9" t="s">
        <v>23</v>
      </c>
      <c r="N17" s="9"/>
      <c r="O17" s="9"/>
      <c r="P17" s="8" t="str">
        <f>_xlfn.CONCAT(I17,CHAR(10),
       IF(AND(K17&lt;&gt;"", L17&lt;&gt;""),
          "Situación: " &amp; K17 &amp; CHAR(10) &amp; "Calificación: " &amp; L17 &amp; "%" &amp; CHAR(10),
          IF(K17&lt;&gt;"",
             "Situación: " &amp; K17 &amp; CHAR(10),
             IF(L17&lt;&gt;"",
                "Calificación: " &amp; L17 &amp; "%" &amp; CHAR(10),
                CHAR(10)))),
       "Meses: ", M17, CHAR(10),
       "Score: ", N17, CHAR(10),
       "Banco: ", O17
)</f>
        <v xml:space="preserve">El próximo año
Meses: 
Score: 
Banco: </v>
      </c>
      <c r="Q17" s="13" t="s">
        <v>24</v>
      </c>
    </row>
    <row r="18" spans="1:17" x14ac:dyDescent="0.25">
      <c r="A18" s="7" t="s">
        <v>93</v>
      </c>
      <c r="B18" s="9" t="s">
        <v>94</v>
      </c>
      <c r="C18" s="9"/>
      <c r="D18" s="10">
        <v>71755319</v>
      </c>
      <c r="E18" s="8" t="s">
        <v>95</v>
      </c>
      <c r="F18" s="9"/>
      <c r="G18" s="14" t="s">
        <v>96</v>
      </c>
      <c r="H18" s="8" t="s">
        <v>97</v>
      </c>
      <c r="I18" s="9" t="s">
        <v>34</v>
      </c>
      <c r="J18" s="9"/>
      <c r="K18" s="9"/>
      <c r="L18" s="9"/>
      <c r="M18" s="9" t="s">
        <v>23</v>
      </c>
      <c r="N18" s="9"/>
      <c r="O18" s="9"/>
      <c r="P18" s="8" t="str">
        <f>_xlfn.CONCAT(I18,CHAR(10),
       IF(AND(K18&lt;&gt;"", L18&lt;&gt;""),
          "Situación: " &amp; K18 &amp; CHAR(10) &amp; "Calificación: " &amp; L18 &amp; "%" &amp; CHAR(10),
          IF(K18&lt;&gt;"",
             "Situación: " &amp; K18 &amp; CHAR(10),
             IF(L18&lt;&gt;"",
                "Calificación: " &amp; L18 &amp; "%" &amp; CHAR(10),
                CHAR(10)))),
       "Meses: ", M18, CHAR(10),
       "Score: ", N18, CHAR(10),
       "Banco: ", O18
)</f>
        <v xml:space="preserve">El próximo año
Meses: 
Score: 
Banco: </v>
      </c>
      <c r="Q18" s="13" t="s">
        <v>53</v>
      </c>
    </row>
    <row r="19" spans="1:17" x14ac:dyDescent="0.25">
      <c r="A19" s="7" t="s">
        <v>98</v>
      </c>
      <c r="B19" s="9" t="s">
        <v>99</v>
      </c>
      <c r="C19" s="9"/>
      <c r="D19" s="10">
        <v>42459274</v>
      </c>
      <c r="E19" s="8" t="s">
        <v>100</v>
      </c>
      <c r="F19" s="9"/>
      <c r="G19" s="14" t="s">
        <v>101</v>
      </c>
      <c r="H19" s="8" t="s">
        <v>21</v>
      </c>
      <c r="I19" s="9" t="s">
        <v>29</v>
      </c>
      <c r="J19" s="9"/>
      <c r="K19" s="9"/>
      <c r="L19" s="9"/>
      <c r="M19" s="9" t="s">
        <v>23</v>
      </c>
      <c r="N19" s="9"/>
      <c r="O19" s="9"/>
      <c r="P19" s="8" t="str">
        <f>_xlfn.CONCAT(I19,CHAR(10),
       IF(AND(K19&lt;&gt;"", L19&lt;&gt;""),
          "Situación: " &amp; K19 &amp; CHAR(10) &amp; "Calificación: " &amp; L19 &amp; "%" &amp; CHAR(10),
          IF(K19&lt;&gt;"",
             "Situación: " &amp; K19 &amp; CHAR(10),
             IF(L19&lt;&gt;"",
                "Calificación: " &amp; L19 &amp; "%" &amp; CHAR(10),
                CHAR(10)))),
       "Meses: ", M19, CHAR(10),
       "Score: ", N19, CHAR(10),
       "Banco: ", O19
)</f>
        <v xml:space="preserve">Lo mas pronto
Meses: 
Score: 
Banco: </v>
      </c>
      <c r="Q19" s="13" t="s">
        <v>53</v>
      </c>
    </row>
    <row r="20" spans="1:17" x14ac:dyDescent="0.25">
      <c r="A20" s="7" t="s">
        <v>102</v>
      </c>
      <c r="B20" s="9" t="s">
        <v>103</v>
      </c>
      <c r="C20" s="9"/>
      <c r="D20" s="10">
        <v>45372928</v>
      </c>
      <c r="E20" s="8" t="s">
        <v>104</v>
      </c>
      <c r="F20" s="9"/>
      <c r="G20" s="14" t="s">
        <v>105</v>
      </c>
      <c r="H20" s="8" t="s">
        <v>21</v>
      </c>
      <c r="I20" s="9" t="s">
        <v>34</v>
      </c>
      <c r="J20" s="9"/>
      <c r="K20" s="9"/>
      <c r="L20" s="9"/>
      <c r="M20" s="9" t="s">
        <v>23</v>
      </c>
      <c r="N20" s="9"/>
      <c r="O20" s="9"/>
      <c r="P20" s="8" t="str">
        <f>_xlfn.CONCAT(I20,CHAR(10),
       IF(AND(K20&lt;&gt;"", L20&lt;&gt;""),
          "Situación: " &amp; K20 &amp; CHAR(10) &amp; "Calificación: " &amp; L20 &amp; "%" &amp; CHAR(10),
          IF(K20&lt;&gt;"",
             "Situación: " &amp; K20 &amp; CHAR(10),
             IF(L20&lt;&gt;"",
                "Calificación: " &amp; L20 &amp; "%" &amp; CHAR(10),
                CHAR(10)))),
       "Meses: ", M20, CHAR(10),
       "Score: ", N20, CHAR(10),
       "Banco: ", O20
)</f>
        <v xml:space="preserve">El próximo año
Meses: 
Score: 
Banco: </v>
      </c>
      <c r="Q20" s="13" t="s">
        <v>53</v>
      </c>
    </row>
    <row r="21" spans="1:17" x14ac:dyDescent="0.25">
      <c r="A21" s="7" t="s">
        <v>106</v>
      </c>
      <c r="B21" s="9" t="s">
        <v>107</v>
      </c>
      <c r="C21" s="9"/>
      <c r="D21" s="10">
        <v>72881174</v>
      </c>
      <c r="E21" s="15" t="s">
        <v>108</v>
      </c>
      <c r="F21" s="9"/>
      <c r="G21" s="14" t="s">
        <v>109</v>
      </c>
      <c r="H21" s="9"/>
      <c r="I21" s="9" t="s">
        <v>39</v>
      </c>
      <c r="J21" s="9"/>
      <c r="K21" s="9"/>
      <c r="L21" s="9"/>
      <c r="M21" s="9" t="s">
        <v>23</v>
      </c>
      <c r="N21" s="9"/>
      <c r="O21" s="9"/>
      <c r="P21" s="8" t="str">
        <f>_xlfn.CONCAT(I21,CHAR(10),
       IF(AND(K21&lt;&gt;"", L21&lt;&gt;""),
          "Situación: " &amp; K21 &amp; CHAR(10) &amp; "Calificación: " &amp; L21 &amp; "%" &amp; CHAR(10),
          IF(K21&lt;&gt;"",
             "Situación: " &amp; K21 &amp; CHAR(10),
             IF(L21&lt;&gt;"",
                "Calificación: " &amp; L21 &amp; "%" &amp; CHAR(10),
                CHAR(10)))),
       "Meses: ", M21, CHAR(10),
       "Score: ", N21, CHAR(10),
       "Banco: ", O21
)</f>
        <v xml:space="preserve">Directo a Whatsapp
Meses: 
Score: 
Banco: </v>
      </c>
      <c r="Q21" s="13" t="s">
        <v>53</v>
      </c>
    </row>
    <row r="22" spans="1:17" x14ac:dyDescent="0.25">
      <c r="A22" s="7" t="s">
        <v>110</v>
      </c>
      <c r="B22" s="9" t="s">
        <v>111</v>
      </c>
      <c r="C22" s="9"/>
      <c r="D22" s="10">
        <v>75008394</v>
      </c>
      <c r="E22" s="8" t="s">
        <v>112</v>
      </c>
      <c r="F22" s="9"/>
      <c r="G22" s="14" t="s">
        <v>113</v>
      </c>
      <c r="H22" s="8" t="s">
        <v>21</v>
      </c>
      <c r="I22" s="9" t="s">
        <v>34</v>
      </c>
      <c r="J22" s="9"/>
      <c r="K22" s="9"/>
      <c r="L22" s="9"/>
      <c r="M22" s="9" t="s">
        <v>23</v>
      </c>
      <c r="N22" s="9"/>
      <c r="O22" s="9"/>
      <c r="P22" s="8" t="str">
        <f>_xlfn.CONCAT(I22,CHAR(10),
       IF(AND(K22&lt;&gt;"", L22&lt;&gt;""),
          "Situación: " &amp; K22 &amp; CHAR(10) &amp; "Calificación: " &amp; L22 &amp; "%" &amp; CHAR(10),
          IF(K22&lt;&gt;"",
             "Situación: " &amp; K22 &amp; CHAR(10),
             IF(L22&lt;&gt;"",
                "Calificación: " &amp; L22 &amp; "%" &amp; CHAR(10),
                CHAR(10)))),
       "Meses: ", M22, CHAR(10),
       "Score: ", N22, CHAR(10),
       "Banco: ", O22
)</f>
        <v xml:space="preserve">El próximo año
Meses: 
Score: 
Banco: </v>
      </c>
      <c r="Q22" s="13" t="s">
        <v>53</v>
      </c>
    </row>
    <row r="23" spans="1:17" x14ac:dyDescent="0.25">
      <c r="A23" s="7" t="s">
        <v>114</v>
      </c>
      <c r="B23" s="9" t="s">
        <v>115</v>
      </c>
      <c r="C23" s="9"/>
      <c r="D23" s="10">
        <v>75097169</v>
      </c>
      <c r="E23" s="8" t="s">
        <v>116</v>
      </c>
      <c r="F23" s="9"/>
      <c r="G23" s="14" t="s">
        <v>117</v>
      </c>
      <c r="H23" s="8" t="s">
        <v>21</v>
      </c>
      <c r="I23" s="9" t="s">
        <v>22</v>
      </c>
      <c r="J23" s="9"/>
      <c r="K23" s="9"/>
      <c r="L23" s="9"/>
      <c r="M23" s="9" t="s">
        <v>23</v>
      </c>
      <c r="N23" s="9"/>
      <c r="O23" s="9"/>
      <c r="P23" s="8" t="str">
        <f>_xlfn.CONCAT(I23,CHAR(10),
       IF(AND(K23&lt;&gt;"", L23&lt;&gt;""),
          "Situación: " &amp; K23 &amp; CHAR(10) &amp; "Calificación: " &amp; L23 &amp; "%" &amp; CHAR(10),
          IF(K23&lt;&gt;"",
             "Situación: " &amp; K23 &amp; CHAR(10),
             IF(L23&lt;&gt;"",
                "Calificación: " &amp; L23 &amp; "%" &amp; CHAR(10),
                CHAR(10)))),
       "Meses: ", M23, CHAR(10),
       "Score: ", N23, CHAR(10),
       "Banco: ", O23
)</f>
        <v xml:space="preserve">Para diciembre de este año
Meses: 
Score: 
Banco: </v>
      </c>
      <c r="Q23" s="13" t="s">
        <v>53</v>
      </c>
    </row>
    <row r="24" spans="1:17" x14ac:dyDescent="0.25">
      <c r="A24" s="7" t="s">
        <v>118</v>
      </c>
      <c r="B24" s="9" t="s">
        <v>119</v>
      </c>
      <c r="C24" s="9"/>
      <c r="D24" s="10">
        <v>75257954</v>
      </c>
      <c r="E24" s="9" t="s">
        <v>120</v>
      </c>
      <c r="F24" s="9"/>
      <c r="G24" s="14" t="s">
        <v>121</v>
      </c>
      <c r="H24" s="8" t="s">
        <v>21</v>
      </c>
      <c r="I24" s="9" t="s">
        <v>34</v>
      </c>
      <c r="J24" s="9"/>
      <c r="K24" s="9"/>
      <c r="L24" s="9"/>
      <c r="M24" s="9" t="s">
        <v>23</v>
      </c>
      <c r="N24" s="9"/>
      <c r="O24" s="9"/>
      <c r="P24" s="8" t="str">
        <f>_xlfn.CONCAT(I24,CHAR(10),
       IF(AND(K24&lt;&gt;"", L24&lt;&gt;""),
          "Situación: " &amp; K24 &amp; CHAR(10) &amp; "Calificación: " &amp; L24 &amp; "%" &amp; CHAR(10),
          IF(K24&lt;&gt;"",
             "Situación: " &amp; K24 &amp; CHAR(10),
             IF(L24&lt;&gt;"",
                "Calificación: " &amp; L24 &amp; "%" &amp; CHAR(10),
                CHAR(10)))),
       "Meses: ", M24, CHAR(10),
       "Score: ", N24, CHAR(10),
       "Banco: ", O24
)</f>
        <v xml:space="preserve">El próximo año
Meses: 
Score: 
Banco: </v>
      </c>
      <c r="Q24" s="13" t="s">
        <v>24</v>
      </c>
    </row>
    <row r="25" spans="1:17" x14ac:dyDescent="0.25">
      <c r="A25" s="7" t="s">
        <v>122</v>
      </c>
      <c r="B25" s="9" t="s">
        <v>123</v>
      </c>
      <c r="C25" s="9"/>
      <c r="D25" s="10">
        <v>46849597</v>
      </c>
      <c r="E25" s="8" t="s">
        <v>124</v>
      </c>
      <c r="F25" s="9"/>
      <c r="G25" s="14" t="s">
        <v>125</v>
      </c>
      <c r="H25" s="8" t="s">
        <v>21</v>
      </c>
      <c r="I25" s="9" t="s">
        <v>34</v>
      </c>
      <c r="J25" s="9" t="s">
        <v>126</v>
      </c>
      <c r="K25" s="16" t="s">
        <v>127</v>
      </c>
      <c r="L25" s="16"/>
      <c r="M25" s="9" t="s">
        <v>23</v>
      </c>
      <c r="N25" s="17">
        <v>270</v>
      </c>
      <c r="O25" s="16" t="s">
        <v>128</v>
      </c>
      <c r="P25" s="8" t="str">
        <f>_xlfn.CONCAT(I25,CHAR(10),
       IF(AND(K25&lt;&gt;"", L25&lt;&gt;""),
          "Situación: " &amp; K25 &amp; CHAR(10) &amp; "Calificación: " &amp; L25 &amp; "%" &amp; CHAR(10),
          IF(K25&lt;&gt;"",
             "Situación: " &amp; K25 &amp; CHAR(10),
             IF(L25&lt;&gt;"",
                "Calificación: " &amp; L25 &amp; "%" &amp; CHAR(10),
                CHAR(10)))),
       "Meses: ", M25, CHAR(10),
       "Score: ", N25, CHAR(10),
       "Banco: ", O25
)</f>
        <v>El próximo año
Situación: BAJO SCORE / MAL SBS 
Meses: 
Score: 270
Banco: E</v>
      </c>
      <c r="Q25" s="13" t="s">
        <v>53</v>
      </c>
    </row>
    <row r="26" spans="1:17" x14ac:dyDescent="0.25">
      <c r="A26" s="7" t="s">
        <v>129</v>
      </c>
      <c r="B26" s="9" t="s">
        <v>130</v>
      </c>
      <c r="C26" s="9"/>
      <c r="D26" s="10">
        <v>70689594</v>
      </c>
      <c r="E26" s="8" t="s">
        <v>131</v>
      </c>
      <c r="F26" s="9"/>
      <c r="G26" s="14" t="s">
        <v>132</v>
      </c>
      <c r="H26" s="8" t="s">
        <v>21</v>
      </c>
      <c r="I26" s="9" t="s">
        <v>22</v>
      </c>
      <c r="J26" s="9" t="s">
        <v>126</v>
      </c>
      <c r="K26" s="16" t="s">
        <v>133</v>
      </c>
      <c r="L26" s="16"/>
      <c r="M26" s="9" t="s">
        <v>23</v>
      </c>
      <c r="N26" s="17">
        <v>259</v>
      </c>
      <c r="O26" s="16" t="s">
        <v>128</v>
      </c>
      <c r="P26" s="8" t="str">
        <f>_xlfn.CONCAT(I26,CHAR(10),
       IF(AND(K26&lt;&gt;"", L26&lt;&gt;""),
          "Situación: " &amp; K26 &amp; CHAR(10) &amp; "Calificación: " &amp; L26 &amp; "%" &amp; CHAR(10),
          IF(K26&lt;&gt;"",
             "Situación: " &amp; K26 &amp; CHAR(10),
             IF(L26&lt;&gt;"",
                "Calificación: " &amp; L26 &amp; "%" &amp; CHAR(10),
                CHAR(10)))),
       "Meses: ", M26, CHAR(10),
       "Score: ", N26, CHAR(10),
       "Banco: ", O26
)</f>
        <v>Para diciembre de este año
Situación: NO CALIFICA POR SCORE 
Meses: 
Score: 259
Banco: E</v>
      </c>
      <c r="Q26" s="13" t="s">
        <v>53</v>
      </c>
    </row>
    <row r="27" spans="1:17" x14ac:dyDescent="0.25">
      <c r="A27" s="7" t="s">
        <v>134</v>
      </c>
      <c r="B27" s="9" t="s">
        <v>135</v>
      </c>
      <c r="C27" s="9"/>
      <c r="D27" s="10">
        <v>46368205</v>
      </c>
      <c r="E27" s="8" t="s">
        <v>136</v>
      </c>
      <c r="F27" s="9"/>
      <c r="G27" s="14" t="s">
        <v>137</v>
      </c>
      <c r="H27" s="8" t="s">
        <v>21</v>
      </c>
      <c r="I27" s="9" t="s">
        <v>29</v>
      </c>
      <c r="J27" s="9" t="s">
        <v>126</v>
      </c>
      <c r="K27" s="16" t="s">
        <v>133</v>
      </c>
      <c r="L27" s="16"/>
      <c r="M27" s="9" t="s">
        <v>23</v>
      </c>
      <c r="N27" s="17">
        <v>305</v>
      </c>
      <c r="O27" s="16" t="s">
        <v>138</v>
      </c>
      <c r="P27" s="8" t="str">
        <f>_xlfn.CONCAT(I27,CHAR(10),
       IF(AND(K27&lt;&gt;"", L27&lt;&gt;""),
          "Situación: " &amp; K27 &amp; CHAR(10) &amp; "Calificación: " &amp; L27 &amp; "%" &amp; CHAR(10),
          IF(K27&lt;&gt;"",
             "Situación: " &amp; K27 &amp; CHAR(10),
             IF(L27&lt;&gt;"",
                "Calificación: " &amp; L27 &amp; "%" &amp; CHAR(10),
                CHAR(10)))),
       "Meses: ", M27, CHAR(10),
       "Score: ", N27, CHAR(10),
       "Banco: ", O27
)</f>
        <v>Lo mas pronto
Situación: NO CALIFICA POR SCORE 
Meses: 
Score: 305
Banco: C</v>
      </c>
      <c r="Q27" s="13" t="s">
        <v>53</v>
      </c>
    </row>
    <row r="28" spans="1:17" x14ac:dyDescent="0.25">
      <c r="A28" s="7" t="s">
        <v>139</v>
      </c>
      <c r="B28" s="9" t="s">
        <v>140</v>
      </c>
      <c r="C28" s="9"/>
      <c r="D28" s="10">
        <v>19080433</v>
      </c>
      <c r="E28" s="9" t="s">
        <v>141</v>
      </c>
      <c r="F28" s="9"/>
      <c r="G28" s="14" t="s">
        <v>142</v>
      </c>
      <c r="H28" s="8" t="s">
        <v>21</v>
      </c>
      <c r="I28" s="9" t="s">
        <v>29</v>
      </c>
      <c r="J28" s="9"/>
      <c r="K28" s="9"/>
      <c r="L28" s="9"/>
      <c r="M28" s="9" t="s">
        <v>23</v>
      </c>
      <c r="N28" s="9"/>
      <c r="O28" s="9"/>
      <c r="P28" s="8" t="str">
        <f>_xlfn.CONCAT(I28,CHAR(10),
       IF(AND(K28&lt;&gt;"", L28&lt;&gt;""),
          "Situación: " &amp; K28 &amp; CHAR(10) &amp; "Calificación: " &amp; L28 &amp; "%" &amp; CHAR(10),
          IF(K28&lt;&gt;"",
             "Situación: " &amp; K28 &amp; CHAR(10),
             IF(L28&lt;&gt;"",
                "Calificación: " &amp; L28 &amp; "%" &amp; CHAR(10),
                CHAR(10)))),
       "Meses: ", M28, CHAR(10),
       "Score: ", N28, CHAR(10),
       "Banco: ", O28
)</f>
        <v xml:space="preserve">Lo mas pronto
Meses: 
Score: 
Banco: </v>
      </c>
      <c r="Q28" s="13" t="s">
        <v>24</v>
      </c>
    </row>
    <row r="29" spans="1:17" x14ac:dyDescent="0.25">
      <c r="A29" s="7" t="s">
        <v>143</v>
      </c>
      <c r="B29" s="9" t="s">
        <v>144</v>
      </c>
      <c r="C29" s="9"/>
      <c r="D29" s="18">
        <v>47891064</v>
      </c>
      <c r="E29" s="9" t="s">
        <v>145</v>
      </c>
      <c r="F29" s="9"/>
      <c r="G29" s="11" t="s">
        <v>146</v>
      </c>
      <c r="H29" s="19" t="s">
        <v>147</v>
      </c>
      <c r="I29" s="9" t="s">
        <v>39</v>
      </c>
      <c r="J29" s="9" t="s">
        <v>126</v>
      </c>
      <c r="K29" s="16" t="s">
        <v>127</v>
      </c>
      <c r="L29" s="16"/>
      <c r="M29" s="9" t="s">
        <v>23</v>
      </c>
      <c r="N29" s="17">
        <v>299</v>
      </c>
      <c r="O29" s="16" t="s">
        <v>128</v>
      </c>
      <c r="P29" s="8" t="str">
        <f>_xlfn.CONCAT(I29,CHAR(10),
       IF(AND(K29&lt;&gt;"", L29&lt;&gt;""),
          "Situación: " &amp; K29 &amp; CHAR(10) &amp; "Calificación: " &amp; L29 &amp; "%" &amp; CHAR(10),
          IF(K29&lt;&gt;"",
             "Situación: " &amp; K29 &amp; CHAR(10),
             IF(L29&lt;&gt;"",
                "Calificación: " &amp; L29 &amp; "%" &amp; CHAR(10),
                CHAR(10)))),
       "Meses: ", M29, CHAR(10),
       "Score: ", N29, CHAR(10),
       "Banco: ", O29
)</f>
        <v>Directo a Whatsapp
Situación: BAJO SCORE / MAL SBS 
Meses: 
Score: 299
Banco: E</v>
      </c>
      <c r="Q29" s="13" t="s">
        <v>24</v>
      </c>
    </row>
    <row r="30" spans="1:17" x14ac:dyDescent="0.25">
      <c r="A30" s="7" t="s">
        <v>148</v>
      </c>
      <c r="B30" s="9" t="s">
        <v>149</v>
      </c>
      <c r="C30" s="9"/>
      <c r="D30" s="10">
        <v>47097955</v>
      </c>
      <c r="E30" s="9" t="s">
        <v>150</v>
      </c>
      <c r="F30" s="9"/>
      <c r="G30" s="14" t="s">
        <v>151</v>
      </c>
      <c r="H30" s="8" t="s">
        <v>21</v>
      </c>
      <c r="I30" s="9" t="s">
        <v>29</v>
      </c>
      <c r="J30" s="9"/>
      <c r="K30" s="9"/>
      <c r="L30" s="9"/>
      <c r="M30" s="9" t="s">
        <v>23</v>
      </c>
      <c r="N30" s="9"/>
      <c r="O30" s="9"/>
      <c r="P30" s="8" t="str">
        <f>_xlfn.CONCAT(I30,CHAR(10),
       IF(AND(K30&lt;&gt;"", L30&lt;&gt;""),
          "Situación: " &amp; K30 &amp; CHAR(10) &amp; "Calificación: " &amp; L30 &amp; "%" &amp; CHAR(10),
          IF(K30&lt;&gt;"",
             "Situación: " &amp; K30 &amp; CHAR(10),
             IF(L30&lt;&gt;"",
                "Calificación: " &amp; L30 &amp; "%" &amp; CHAR(10),
                CHAR(10)))),
       "Meses: ", M30, CHAR(10),
       "Score: ", N30, CHAR(10),
       "Banco: ", O30
)</f>
        <v xml:space="preserve">Lo mas pronto
Meses: 
Score: 
Banco: </v>
      </c>
      <c r="Q30" s="13" t="s">
        <v>24</v>
      </c>
    </row>
    <row r="31" spans="1:17" x14ac:dyDescent="0.25">
      <c r="A31" s="7" t="s">
        <v>152</v>
      </c>
      <c r="B31" s="9" t="s">
        <v>153</v>
      </c>
      <c r="C31" s="9"/>
      <c r="D31" s="18">
        <v>71316976</v>
      </c>
      <c r="E31" s="9" t="s">
        <v>145</v>
      </c>
      <c r="F31" s="9"/>
      <c r="G31" s="11" t="s">
        <v>154</v>
      </c>
      <c r="H31" s="19" t="s">
        <v>155</v>
      </c>
      <c r="I31" s="9" t="s">
        <v>39</v>
      </c>
      <c r="J31" s="9" t="s">
        <v>156</v>
      </c>
      <c r="K31" s="16"/>
      <c r="L31" s="9">
        <v>10</v>
      </c>
      <c r="M31" s="16">
        <v>6</v>
      </c>
      <c r="N31" s="17">
        <v>435</v>
      </c>
      <c r="O31" s="16" t="s">
        <v>138</v>
      </c>
      <c r="P31" s="8" t="str">
        <f>_xlfn.CONCAT(I31,CHAR(10),
       IF(AND(K31&lt;&gt;"", L31&lt;&gt;""),
          "Situación: " &amp; K31 &amp; CHAR(10) &amp; "Calificación: " &amp; L31 &amp; "%" &amp; CHAR(10),
          IF(K31&lt;&gt;"",
             "Situación: " &amp; K31 &amp; CHAR(10),
             IF(L31&lt;&gt;"",
                "Calificación: " &amp; L31 &amp; "%" &amp; CHAR(10),
                CHAR(10)))),
       "Meses: ", M31, CHAR(10),
       "Score: ", N31, CHAR(10),
       "Banco: ", O31
)</f>
        <v>Directo a Whatsapp
Calificación: 10%
Meses: 6
Score: 435
Banco: C</v>
      </c>
      <c r="Q31" s="13" t="s">
        <v>24</v>
      </c>
    </row>
    <row r="32" spans="1:17" x14ac:dyDescent="0.25">
      <c r="A32" s="7" t="s">
        <v>157</v>
      </c>
      <c r="B32" s="9" t="s">
        <v>158</v>
      </c>
      <c r="C32" s="9"/>
      <c r="D32" s="10">
        <v>48488499</v>
      </c>
      <c r="E32" s="9" t="s">
        <v>159</v>
      </c>
      <c r="F32" s="9"/>
      <c r="G32" s="14" t="s">
        <v>160</v>
      </c>
      <c r="H32" s="8" t="s">
        <v>21</v>
      </c>
      <c r="I32" s="9" t="s">
        <v>29</v>
      </c>
      <c r="J32" s="9"/>
      <c r="K32" s="9"/>
      <c r="L32" s="9" t="s">
        <v>23</v>
      </c>
      <c r="M32" s="9"/>
      <c r="N32" s="9"/>
      <c r="O32" s="9"/>
      <c r="P32" s="8" t="str">
        <f>_xlfn.CONCAT(I32,CHAR(10),
       IF(AND(K32&lt;&gt;"", L32&lt;&gt;""),
          "Situación: " &amp; K32 &amp; CHAR(10) &amp; "Calificación: " &amp; L32 &amp; "%" &amp; CHAR(10),
          IF(K32&lt;&gt;"",
             "Situación: " &amp; K32 &amp; CHAR(10),
             IF(L32&lt;&gt;"",
                "Calificación: " &amp; L32 &amp; "%" &amp; CHAR(10),
                CHAR(10)))),
       "Meses: ", M32, CHAR(10),
       "Score: ", N32, CHAR(10),
       "Banco: ", O32
)</f>
        <v xml:space="preserve">Lo mas pronto
Meses: 
Score: 
Banco: </v>
      </c>
      <c r="Q32" s="13" t="s">
        <v>24</v>
      </c>
    </row>
    <row r="33" spans="1:19" x14ac:dyDescent="0.25">
      <c r="A33" s="7" t="s">
        <v>161</v>
      </c>
      <c r="B33" s="9" t="s">
        <v>162</v>
      </c>
      <c r="C33" s="9"/>
      <c r="D33" s="18">
        <v>72690558</v>
      </c>
      <c r="E33" s="9" t="s">
        <v>145</v>
      </c>
      <c r="F33" s="9"/>
      <c r="G33" s="11" t="s">
        <v>163</v>
      </c>
      <c r="H33" s="19" t="s">
        <v>21</v>
      </c>
      <c r="I33" s="9" t="s">
        <v>39</v>
      </c>
      <c r="J33" s="9" t="s">
        <v>164</v>
      </c>
      <c r="K33" s="16" t="s">
        <v>165</v>
      </c>
      <c r="L33" s="9">
        <v>20</v>
      </c>
      <c r="M33" s="16">
        <v>6</v>
      </c>
      <c r="N33" s="17">
        <v>386</v>
      </c>
      <c r="O33" s="16" t="s">
        <v>166</v>
      </c>
      <c r="P33" s="8" t="str">
        <f>_xlfn.CONCAT(I33,CHAR(10),
       IF(AND(K33&lt;&gt;"", L33&lt;&gt;""),
          "Situación: " &amp; K33 &amp; CHAR(10) &amp; "Calificación: " &amp; L33 &amp; "%" &amp; CHAR(10),
          IF(K33&lt;&gt;"",
             "Situación: " &amp; K33 &amp; CHAR(10),
             IF(L33&lt;&gt;"",
                "Calificación: " &amp; L33 &amp; "%" &amp; CHAR(10),
                CHAR(10)))),
       "Meses: ", M33, CHAR(10),
       "Score: ", N33, CHAR(10),
       "Banco: ", O33
)</f>
        <v>Directo a Whatsapp
Situación: CONDONACION DE DEUDA
Calificación: 20%
Meses: 6
Score: 386
Banco: B</v>
      </c>
      <c r="Q33" s="13" t="s">
        <v>24</v>
      </c>
      <c r="S33" s="20"/>
    </row>
    <row r="34" spans="1:19" x14ac:dyDescent="0.25">
      <c r="A34" s="7" t="s">
        <v>167</v>
      </c>
      <c r="B34" s="9" t="s">
        <v>168</v>
      </c>
      <c r="C34" s="9"/>
      <c r="D34" s="18">
        <v>70152363</v>
      </c>
      <c r="E34" s="9" t="s">
        <v>145</v>
      </c>
      <c r="F34" s="9"/>
      <c r="G34" s="11" t="s">
        <v>169</v>
      </c>
      <c r="H34" s="19" t="s">
        <v>21</v>
      </c>
      <c r="I34" s="9" t="s">
        <v>39</v>
      </c>
      <c r="J34" s="9" t="s">
        <v>126</v>
      </c>
      <c r="K34" s="16" t="s">
        <v>133</v>
      </c>
      <c r="L34" s="9" t="s">
        <v>23</v>
      </c>
      <c r="M34" s="16"/>
      <c r="N34" s="17">
        <v>308</v>
      </c>
      <c r="O34" s="16" t="s">
        <v>128</v>
      </c>
      <c r="P34" s="8" t="str">
        <f>_xlfn.CONCAT(I34,CHAR(10),
       IF(AND(K34&lt;&gt;"", L34&lt;&gt;""),
          "Situación: " &amp; K34 &amp; CHAR(10) &amp; "Calificación: " &amp; L34 &amp; "%" &amp; CHAR(10),
          IF(K34&lt;&gt;"",
             "Situación: " &amp; K34 &amp; CHAR(10),
             IF(L34&lt;&gt;"",
                "Calificación: " &amp; L34 &amp; "%" &amp; CHAR(10),
                CHAR(10)))),
       "Meses: ", M34, CHAR(10),
       "Score: ", N34, CHAR(10),
       "Banco: ", O34
)</f>
        <v>Directo a Whatsapp
Situación: NO CALIFICA POR SCORE 
Meses: 
Score: 308
Banco: E</v>
      </c>
      <c r="Q34" s="13" t="s">
        <v>24</v>
      </c>
      <c r="S34" s="20"/>
    </row>
    <row r="35" spans="1:19" x14ac:dyDescent="0.25">
      <c r="A35" s="7" t="s">
        <v>170</v>
      </c>
      <c r="B35" s="9" t="s">
        <v>171</v>
      </c>
      <c r="C35" s="9"/>
      <c r="D35" s="10">
        <v>72851444</v>
      </c>
      <c r="E35" s="9" t="s">
        <v>172</v>
      </c>
      <c r="F35" s="9"/>
      <c r="G35" s="14" t="s">
        <v>173</v>
      </c>
      <c r="H35" s="8" t="s">
        <v>21</v>
      </c>
      <c r="I35" s="9" t="s">
        <v>39</v>
      </c>
      <c r="J35" s="9"/>
      <c r="K35" s="9"/>
      <c r="L35" s="9" t="s">
        <v>23</v>
      </c>
      <c r="M35" s="9"/>
      <c r="N35" s="9"/>
      <c r="O35" s="9"/>
      <c r="P35" s="8" t="str">
        <f>_xlfn.CONCAT(I35,CHAR(10),
       IF(AND(K35&lt;&gt;"", L35&lt;&gt;""),
          "Situación: " &amp; K35 &amp; CHAR(10) &amp; "Calificación: " &amp; L35 &amp; "%" &amp; CHAR(10),
          IF(K35&lt;&gt;"",
             "Situación: " &amp; K35 &amp; CHAR(10),
             IF(L35&lt;&gt;"",
                "Calificación: " &amp; L35 &amp; "%" &amp; CHAR(10),
                CHAR(10)))),
       "Meses: ", M35, CHAR(10),
       "Score: ", N35, CHAR(10),
       "Banco: ", O35
)</f>
        <v xml:space="preserve">Directo a Whatsapp
Meses: 
Score: 
Banco: </v>
      </c>
      <c r="Q35" s="13" t="s">
        <v>24</v>
      </c>
      <c r="S35" s="20"/>
    </row>
    <row r="36" spans="1:19" x14ac:dyDescent="0.25">
      <c r="A36" s="7" t="s">
        <v>174</v>
      </c>
      <c r="B36" s="9" t="s">
        <v>175</v>
      </c>
      <c r="C36" s="9"/>
      <c r="D36" s="18">
        <v>74149803</v>
      </c>
      <c r="E36" s="9" t="s">
        <v>145</v>
      </c>
      <c r="F36" s="9"/>
      <c r="G36" s="11" t="s">
        <v>176</v>
      </c>
      <c r="H36" s="19" t="s">
        <v>177</v>
      </c>
      <c r="I36" s="9" t="s">
        <v>39</v>
      </c>
      <c r="J36" s="9" t="s">
        <v>156</v>
      </c>
      <c r="K36" s="16"/>
      <c r="L36" s="9">
        <v>20</v>
      </c>
      <c r="M36" s="16">
        <v>9</v>
      </c>
      <c r="N36" s="17">
        <v>363</v>
      </c>
      <c r="O36" s="16" t="s">
        <v>138</v>
      </c>
      <c r="P36" s="8" t="str">
        <f>_xlfn.CONCAT(I36,CHAR(10),
       IF(AND(K36&lt;&gt;"", L36&lt;&gt;""),
          "Situación: " &amp; K36 &amp; CHAR(10) &amp; "Calificación: " &amp; L36 &amp; "%" &amp; CHAR(10),
          IF(K36&lt;&gt;"",
             "Situación: " &amp; K36 &amp; CHAR(10),
             IF(L36&lt;&gt;"",
                "Calificación: " &amp; L36 &amp; "%" &amp; CHAR(10),
                CHAR(10)))),
       "Meses: ", M36, CHAR(10),
       "Score: ", N36, CHAR(10),
       "Banco: ", O36
)</f>
        <v>Directo a Whatsapp
Calificación: 20%
Meses: 9
Score: 363
Banco: C</v>
      </c>
      <c r="Q36" s="13" t="s">
        <v>24</v>
      </c>
      <c r="S36" s="20"/>
    </row>
    <row r="37" spans="1:19" x14ac:dyDescent="0.25">
      <c r="A37" s="7" t="s">
        <v>178</v>
      </c>
      <c r="B37" s="9" t="s">
        <v>179</v>
      </c>
      <c r="C37" s="9"/>
      <c r="D37" s="18">
        <v>48434192</v>
      </c>
      <c r="E37" s="9" t="s">
        <v>145</v>
      </c>
      <c r="F37" s="9"/>
      <c r="G37" s="11" t="s">
        <v>180</v>
      </c>
      <c r="H37" s="19" t="s">
        <v>21</v>
      </c>
      <c r="I37" s="9" t="s">
        <v>39</v>
      </c>
      <c r="J37" s="9" t="s">
        <v>126</v>
      </c>
      <c r="K37" s="16" t="s">
        <v>133</v>
      </c>
      <c r="L37" s="9" t="s">
        <v>23</v>
      </c>
      <c r="M37" s="16"/>
      <c r="N37" s="17">
        <v>309</v>
      </c>
      <c r="O37" s="16" t="s">
        <v>166</v>
      </c>
      <c r="P37" s="8" t="str">
        <f>_xlfn.CONCAT(I37,CHAR(10),
       IF(AND(K37&lt;&gt;"", L37&lt;&gt;""),
          "Situación: " &amp; K37 &amp; CHAR(10) &amp; "Calificación: " &amp; L37 &amp; "%" &amp; CHAR(10),
          IF(K37&lt;&gt;"",
             "Situación: " &amp; K37 &amp; CHAR(10),
             IF(L37&lt;&gt;"",
                "Calificación: " &amp; L37 &amp; "%" &amp; CHAR(10),
                CHAR(10)))),
       "Meses: ", M37, CHAR(10),
       "Score: ", N37, CHAR(10),
       "Banco: ", O37
)</f>
        <v>Directo a Whatsapp
Situación: NO CALIFICA POR SCORE 
Meses: 
Score: 309
Banco: B</v>
      </c>
      <c r="Q37" s="13" t="s">
        <v>24</v>
      </c>
      <c r="S37" s="20"/>
    </row>
    <row r="38" spans="1:19" x14ac:dyDescent="0.25">
      <c r="A38" s="7" t="s">
        <v>181</v>
      </c>
      <c r="B38" s="9" t="s">
        <v>182</v>
      </c>
      <c r="C38" s="9"/>
      <c r="D38" s="10">
        <v>40326519</v>
      </c>
      <c r="E38" s="9" t="s">
        <v>183</v>
      </c>
      <c r="F38" s="9"/>
      <c r="G38" s="14" t="s">
        <v>184</v>
      </c>
      <c r="H38" s="8" t="s">
        <v>21</v>
      </c>
      <c r="I38" s="9" t="s">
        <v>39</v>
      </c>
      <c r="J38" s="9"/>
      <c r="K38" s="9"/>
      <c r="L38" s="9" t="s">
        <v>23</v>
      </c>
      <c r="M38" s="9"/>
      <c r="N38" s="9"/>
      <c r="O38" s="9"/>
      <c r="P38" s="8" t="str">
        <f>_xlfn.CONCAT(I38,CHAR(10),
       IF(AND(K38&lt;&gt;"", L38&lt;&gt;""),
          "Situación: " &amp; K38 &amp; CHAR(10) &amp; "Calificación: " &amp; L38 &amp; "%" &amp; CHAR(10),
          IF(K38&lt;&gt;"",
             "Situación: " &amp; K38 &amp; CHAR(10),
             IF(L38&lt;&gt;"",
                "Calificación: " &amp; L38 &amp; "%" &amp; CHAR(10),
                CHAR(10)))),
       "Meses: ", M38, CHAR(10),
       "Score: ", N38, CHAR(10),
       "Banco: ", O38
)</f>
        <v xml:space="preserve">Directo a Whatsapp
Meses: 
Score: 
Banco: </v>
      </c>
      <c r="Q38" s="13" t="s">
        <v>24</v>
      </c>
      <c r="S38" s="20"/>
    </row>
    <row r="39" spans="1:19" x14ac:dyDescent="0.25">
      <c r="A39" s="7" t="s">
        <v>185</v>
      </c>
      <c r="B39" s="8" t="s">
        <v>186</v>
      </c>
      <c r="C39" s="9"/>
      <c r="D39" s="10">
        <v>74457273</v>
      </c>
      <c r="E39" s="8" t="s">
        <v>187</v>
      </c>
      <c r="F39" s="9"/>
      <c r="G39" s="11" t="s">
        <v>188</v>
      </c>
      <c r="H39" s="8" t="s">
        <v>21</v>
      </c>
      <c r="I39" s="9" t="s">
        <v>29</v>
      </c>
      <c r="J39" s="9" t="s">
        <v>156</v>
      </c>
      <c r="K39" s="16"/>
      <c r="L39" s="9">
        <v>10</v>
      </c>
      <c r="M39" s="16">
        <v>6</v>
      </c>
      <c r="N39" s="9">
        <v>400</v>
      </c>
      <c r="O39" s="9" t="s">
        <v>166</v>
      </c>
      <c r="P39" s="8" t="str">
        <f>_xlfn.CONCAT(I39,CHAR(10),
       IF(AND(K39&lt;&gt;"", L39&lt;&gt;""),
          "Situación: " &amp; K39 &amp; CHAR(10) &amp; "Calificación: " &amp; L39 &amp; "%" &amp; CHAR(10),
          IF(K39&lt;&gt;"",
             "Situación: " &amp; K39 &amp; CHAR(10),
             IF(L39&lt;&gt;"",
                "Calificación: " &amp; L39 &amp; "%" &amp; CHAR(10),
                CHAR(10)))),
       "Meses: ", M39, CHAR(10),
       "Score: ", N39, CHAR(10),
       "Banco: ", O39
)</f>
        <v>Lo mas pronto
Calificación: 10%
Meses: 6
Score: 400
Banco: B</v>
      </c>
      <c r="Q39" s="13" t="s">
        <v>53</v>
      </c>
      <c r="S39" s="20"/>
    </row>
    <row r="40" spans="1:19" x14ac:dyDescent="0.25">
      <c r="A40" s="7" t="s">
        <v>189</v>
      </c>
      <c r="B40" s="8" t="s">
        <v>190</v>
      </c>
      <c r="C40" s="9"/>
      <c r="D40" s="10">
        <v>32130924</v>
      </c>
      <c r="E40" s="8" t="s">
        <v>191</v>
      </c>
      <c r="F40" s="9"/>
      <c r="G40" s="11" t="s">
        <v>192</v>
      </c>
      <c r="H40" s="8" t="s">
        <v>21</v>
      </c>
      <c r="I40" s="9" t="s">
        <v>29</v>
      </c>
      <c r="J40" s="9" t="s">
        <v>156</v>
      </c>
      <c r="K40" s="16"/>
      <c r="L40" s="9">
        <v>20</v>
      </c>
      <c r="M40" s="16">
        <v>9</v>
      </c>
      <c r="N40" s="9">
        <v>342</v>
      </c>
      <c r="O40" s="9" t="s">
        <v>128</v>
      </c>
      <c r="P40" s="8" t="str">
        <f>_xlfn.CONCAT(I40,CHAR(10),
       IF(AND(K40&lt;&gt;"", L40&lt;&gt;""),
          "Situación: " &amp; K40 &amp; CHAR(10) &amp; "Calificación: " &amp; L40 &amp; "%" &amp; CHAR(10),
          IF(K40&lt;&gt;"",
             "Situación: " &amp; K40 &amp; CHAR(10),
             IF(L40&lt;&gt;"",
                "Calificación: " &amp; L40 &amp; "%" &amp; CHAR(10),
                CHAR(10)))),
       "Meses: ", M40, CHAR(10),
       "Score: ", N40, CHAR(10),
       "Banco: ", O40
)</f>
        <v>Lo mas pronto
Calificación: 20%
Meses: 9
Score: 342
Banco: E</v>
      </c>
      <c r="Q40" s="13" t="s">
        <v>53</v>
      </c>
      <c r="R40" s="21"/>
      <c r="S40" s="20"/>
    </row>
    <row r="41" spans="1:19" x14ac:dyDescent="0.25">
      <c r="A41" s="7" t="s">
        <v>193</v>
      </c>
      <c r="B41" s="9" t="s">
        <v>194</v>
      </c>
      <c r="C41" s="9"/>
      <c r="D41" s="9">
        <v>70806379</v>
      </c>
      <c r="E41" s="9" t="s">
        <v>145</v>
      </c>
      <c r="F41" s="9"/>
      <c r="G41" s="22" t="s">
        <v>195</v>
      </c>
      <c r="H41" s="9"/>
      <c r="I41" s="9" t="s">
        <v>39</v>
      </c>
      <c r="J41" s="9" t="s">
        <v>126</v>
      </c>
      <c r="K41" s="16" t="s">
        <v>133</v>
      </c>
      <c r="L41" s="9" t="s">
        <v>23</v>
      </c>
      <c r="M41" s="16"/>
      <c r="N41" s="17">
        <v>266</v>
      </c>
      <c r="O41" s="16" t="s">
        <v>128</v>
      </c>
      <c r="P41" s="8" t="str">
        <f>_xlfn.CONCAT(I41,CHAR(10),
       IF(AND(K41&lt;&gt;"", L41&lt;&gt;""),
          "Situación: " &amp; K41 &amp; CHAR(10) &amp; "Calificación: " &amp; L41 &amp; "%" &amp; CHAR(10),
          IF(K41&lt;&gt;"",
             "Situación: " &amp; K41 &amp; CHAR(10),
             IF(L41&lt;&gt;"",
                "Calificación: " &amp; L41 &amp; "%" &amp; CHAR(10),
                CHAR(10)))),
       "Meses: ", M41, CHAR(10),
       "Score: ", N41, CHAR(10),
       "Banco: ", O41
)</f>
        <v>Directo a Whatsapp
Situación: NO CALIFICA POR SCORE 
Meses: 
Score: 266
Banco: E</v>
      </c>
      <c r="Q41" s="13" t="s">
        <v>24</v>
      </c>
      <c r="R41" s="21"/>
      <c r="S41" s="20"/>
    </row>
    <row r="42" spans="1:19" x14ac:dyDescent="0.25">
      <c r="A42" s="7" t="s">
        <v>196</v>
      </c>
      <c r="B42" s="9" t="s">
        <v>197</v>
      </c>
      <c r="C42" s="9"/>
      <c r="D42" s="10">
        <v>45162593</v>
      </c>
      <c r="E42" s="8" t="s">
        <v>198</v>
      </c>
      <c r="F42" s="9"/>
      <c r="G42" s="14" t="s">
        <v>199</v>
      </c>
      <c r="H42" s="8" t="s">
        <v>21</v>
      </c>
      <c r="I42" s="9" t="s">
        <v>29</v>
      </c>
      <c r="J42" s="9" t="s">
        <v>164</v>
      </c>
      <c r="K42" s="16" t="s">
        <v>200</v>
      </c>
      <c r="L42" s="9" t="s">
        <v>23</v>
      </c>
      <c r="M42" s="16"/>
      <c r="N42" s="17">
        <v>416</v>
      </c>
      <c r="O42" s="16" t="s">
        <v>166</v>
      </c>
      <c r="P42" s="8" t="str">
        <f>_xlfn.CONCAT(I42,CHAR(10),
       IF(AND(K42&lt;&gt;"", L42&lt;&gt;""),
          "Situación: " &amp; K42 &amp; CHAR(10) &amp; "Calificación: " &amp; L42 &amp; "%" &amp; CHAR(10),
          IF(K42&lt;&gt;"",
             "Situación: " &amp; K42 &amp; CHAR(10),
             IF(L42&lt;&gt;"",
                "Calificación: " &amp; L42 &amp; "%" &amp; CHAR(10),
                CHAR(10)))),
       "Meses: ", M42, CHAR(10),
       "Score: ", N42, CHAR(10),
       "Banco: ", O42
)</f>
        <v>Lo mas pronto
Situación: MAL SBS 
Meses: 
Score: 416
Banco: B</v>
      </c>
      <c r="Q42" s="13" t="s">
        <v>53</v>
      </c>
    </row>
    <row r="43" spans="1:19" x14ac:dyDescent="0.25">
      <c r="A43" s="7" t="s">
        <v>201</v>
      </c>
      <c r="B43" s="9" t="s">
        <v>202</v>
      </c>
      <c r="C43" s="9"/>
      <c r="D43" s="18">
        <v>77470878</v>
      </c>
      <c r="E43" s="9" t="s">
        <v>145</v>
      </c>
      <c r="F43" s="9"/>
      <c r="G43" s="11" t="s">
        <v>203</v>
      </c>
      <c r="H43" s="19" t="s">
        <v>21</v>
      </c>
      <c r="I43" s="9" t="s">
        <v>39</v>
      </c>
      <c r="J43" s="9" t="s">
        <v>156</v>
      </c>
      <c r="K43" s="16"/>
      <c r="L43" s="9">
        <v>20</v>
      </c>
      <c r="M43" s="16">
        <v>9</v>
      </c>
      <c r="N43" s="17">
        <v>372</v>
      </c>
      <c r="O43" s="16" t="s">
        <v>128</v>
      </c>
      <c r="P43" s="8" t="str">
        <f>_xlfn.CONCAT(I43,CHAR(10),
       IF(AND(K43&lt;&gt;"", L43&lt;&gt;""),
          "Situación: " &amp; K43 &amp; CHAR(10) &amp; "Calificación: " &amp; L43 &amp; "%" &amp; CHAR(10),
          IF(K43&lt;&gt;"",
             "Situación: " &amp; K43 &amp; CHAR(10),
             IF(L43&lt;&gt;"",
                "Calificación: " &amp; L43 &amp; "%" &amp; CHAR(10),
                CHAR(10)))),
       "Meses: ", M43, CHAR(10),
       "Score: ", N43, CHAR(10),
       "Banco: ", O43
)</f>
        <v>Directo a Whatsapp
Calificación: 20%
Meses: 9
Score: 372
Banco: E</v>
      </c>
      <c r="Q43" s="13" t="s">
        <v>24</v>
      </c>
    </row>
    <row r="44" spans="1:19" x14ac:dyDescent="0.25">
      <c r="A44" s="7" t="s">
        <v>201</v>
      </c>
      <c r="B44" s="9" t="s">
        <v>204</v>
      </c>
      <c r="C44" s="9"/>
      <c r="D44" s="18">
        <v>19260318</v>
      </c>
      <c r="E44" s="9" t="s">
        <v>145</v>
      </c>
      <c r="F44" s="9"/>
      <c r="G44" s="11" t="s">
        <v>205</v>
      </c>
      <c r="H44" s="19" t="s">
        <v>21</v>
      </c>
      <c r="I44" s="9" t="s">
        <v>39</v>
      </c>
      <c r="J44" s="9" t="s">
        <v>164</v>
      </c>
      <c r="K44" s="16" t="s">
        <v>200</v>
      </c>
      <c r="L44" s="9" t="s">
        <v>23</v>
      </c>
      <c r="M44" s="16"/>
      <c r="N44" s="17">
        <v>352</v>
      </c>
      <c r="O44" s="16" t="s">
        <v>128</v>
      </c>
      <c r="P44" s="8" t="str">
        <f>_xlfn.CONCAT(I44,CHAR(10),
       IF(AND(K44&lt;&gt;"", L44&lt;&gt;""),
          "Situación: " &amp; K44 &amp; CHAR(10) &amp; "Calificación: " &amp; L44 &amp; "%" &amp; CHAR(10),
          IF(K44&lt;&gt;"",
             "Situación: " &amp; K44 &amp; CHAR(10),
             IF(L44&lt;&gt;"",
                "Calificación: " &amp; L44 &amp; "%" &amp; CHAR(10),
                CHAR(10)))),
       "Meses: ", M44, CHAR(10),
       "Score: ", N44, CHAR(10),
       "Banco: ", O44
)</f>
        <v>Directo a Whatsapp
Situación: MAL SBS 
Meses: 
Score: 352
Banco: E</v>
      </c>
      <c r="Q44" s="13" t="s">
        <v>24</v>
      </c>
    </row>
    <row r="45" spans="1:19" x14ac:dyDescent="0.25">
      <c r="A45" s="7" t="s">
        <v>206</v>
      </c>
      <c r="B45" s="9" t="s">
        <v>207</v>
      </c>
      <c r="C45" s="9"/>
      <c r="D45" s="10">
        <v>73959710</v>
      </c>
      <c r="E45" s="8" t="s">
        <v>208</v>
      </c>
      <c r="F45" s="9"/>
      <c r="G45" s="14" t="s">
        <v>209</v>
      </c>
      <c r="H45" s="8" t="s">
        <v>21</v>
      </c>
      <c r="I45" s="9" t="s">
        <v>34</v>
      </c>
      <c r="J45" s="9" t="s">
        <v>126</v>
      </c>
      <c r="K45" s="16" t="s">
        <v>133</v>
      </c>
      <c r="L45" s="9" t="s">
        <v>23</v>
      </c>
      <c r="M45" s="16"/>
      <c r="N45" s="17">
        <v>308</v>
      </c>
      <c r="O45" s="16" t="s">
        <v>166</v>
      </c>
      <c r="P45" s="8" t="str">
        <f>_xlfn.CONCAT(I45,CHAR(10),
       IF(AND(K45&lt;&gt;"", L45&lt;&gt;""),
          "Situación: " &amp; K45 &amp; CHAR(10) &amp; "Calificación: " &amp; L45 &amp; "%" &amp; CHAR(10),
          IF(K45&lt;&gt;"",
             "Situación: " &amp; K45 &amp; CHAR(10),
             IF(L45&lt;&gt;"",
                "Calificación: " &amp; L45 &amp; "%" &amp; CHAR(10),
                CHAR(10)))),
       "Meses: ", M45, CHAR(10),
       "Score: ", N45, CHAR(10),
       "Banco: ", O45
)</f>
        <v>El próximo año
Situación: NO CALIFICA POR SCORE 
Meses: 
Score: 308
Banco: B</v>
      </c>
      <c r="Q45" s="13" t="s">
        <v>53</v>
      </c>
    </row>
    <row r="46" spans="1:19" x14ac:dyDescent="0.25">
      <c r="A46" s="7" t="s">
        <v>210</v>
      </c>
      <c r="B46" s="9" t="s">
        <v>211</v>
      </c>
      <c r="C46" s="9"/>
      <c r="D46" s="10">
        <v>45162593</v>
      </c>
      <c r="E46" s="8" t="s">
        <v>212</v>
      </c>
      <c r="F46" s="9"/>
      <c r="G46" s="14" t="s">
        <v>213</v>
      </c>
      <c r="H46" s="8" t="s">
        <v>21</v>
      </c>
      <c r="I46" s="9" t="s">
        <v>29</v>
      </c>
      <c r="J46" s="9" t="s">
        <v>164</v>
      </c>
      <c r="K46" s="16" t="s">
        <v>200</v>
      </c>
      <c r="L46" s="9" t="s">
        <v>23</v>
      </c>
      <c r="M46" s="16"/>
      <c r="N46" s="17">
        <v>416</v>
      </c>
      <c r="O46" s="16" t="s">
        <v>166</v>
      </c>
      <c r="P46" s="8" t="str">
        <f>_xlfn.CONCAT(I46,CHAR(10),
       IF(AND(K46&lt;&gt;"", L46&lt;&gt;""),
          "Situación: " &amp; K46 &amp; CHAR(10) &amp; "Calificación: " &amp; L46 &amp; "%" &amp; CHAR(10),
          IF(K46&lt;&gt;"",
             "Situación: " &amp; K46 &amp; CHAR(10),
             IF(L46&lt;&gt;"",
                "Calificación: " &amp; L46 &amp; "%" &amp; CHAR(10),
                CHAR(10)))),
       "Meses: ", M46, CHAR(10),
       "Score: ", N46, CHAR(10),
       "Banco: ", O46
)</f>
        <v>Lo mas pronto
Situación: MAL SBS 
Meses: 
Score: 416
Banco: B</v>
      </c>
      <c r="Q46" s="13" t="s">
        <v>53</v>
      </c>
    </row>
    <row r="47" spans="1:19" x14ac:dyDescent="0.25">
      <c r="A47" s="7" t="s">
        <v>214</v>
      </c>
      <c r="B47" s="9" t="s">
        <v>215</v>
      </c>
      <c r="C47" s="9"/>
      <c r="D47" s="10">
        <v>80614626</v>
      </c>
      <c r="E47" s="9" t="s">
        <v>216</v>
      </c>
      <c r="F47" s="9"/>
      <c r="G47" s="14" t="s">
        <v>217</v>
      </c>
      <c r="H47" s="8" t="s">
        <v>21</v>
      </c>
      <c r="I47" s="9" t="s">
        <v>34</v>
      </c>
      <c r="J47" s="9"/>
      <c r="K47" s="9"/>
      <c r="L47" s="9" t="s">
        <v>23</v>
      </c>
      <c r="M47" s="9"/>
      <c r="N47" s="9"/>
      <c r="O47" s="9"/>
      <c r="P47" s="8" t="str">
        <f>_xlfn.CONCAT(I47,CHAR(10),
       IF(AND(K47&lt;&gt;"", L47&lt;&gt;""),
          "Situación: " &amp; K47 &amp; CHAR(10) &amp; "Calificación: " &amp; L47 &amp; "%" &amp; CHAR(10),
          IF(K47&lt;&gt;"",
             "Situación: " &amp; K47 &amp; CHAR(10),
             IF(L47&lt;&gt;"",
                "Calificación: " &amp; L47 &amp; "%" &amp; CHAR(10),
                CHAR(10)))),
       "Meses: ", M47, CHAR(10),
       "Score: ", N47, CHAR(10),
       "Banco: ", O47
)</f>
        <v xml:space="preserve">El próximo año
Meses: 
Score: 
Banco: </v>
      </c>
      <c r="Q47" s="13" t="s">
        <v>24</v>
      </c>
    </row>
    <row r="48" spans="1:19" x14ac:dyDescent="0.25">
      <c r="A48" s="7" t="s">
        <v>218</v>
      </c>
      <c r="B48" s="9" t="s">
        <v>219</v>
      </c>
      <c r="C48" s="9"/>
      <c r="D48" s="10">
        <v>48364482</v>
      </c>
      <c r="E48" s="8" t="s">
        <v>220</v>
      </c>
      <c r="F48" s="9"/>
      <c r="G48" s="14" t="s">
        <v>221</v>
      </c>
      <c r="H48" s="8" t="s">
        <v>21</v>
      </c>
      <c r="I48" s="9" t="s">
        <v>22</v>
      </c>
      <c r="J48" s="9" t="s">
        <v>126</v>
      </c>
      <c r="K48" s="16" t="s">
        <v>133</v>
      </c>
      <c r="L48" s="9" t="s">
        <v>23</v>
      </c>
      <c r="M48" s="16"/>
      <c r="N48" s="17">
        <v>305</v>
      </c>
      <c r="O48" s="16" t="s">
        <v>128</v>
      </c>
      <c r="P48" s="8" t="str">
        <f>_xlfn.CONCAT(I48,CHAR(10),
       IF(AND(K48&lt;&gt;"", L48&lt;&gt;""),
          "Situación: " &amp; K48 &amp; CHAR(10) &amp; "Calificación: " &amp; L48 &amp; "%" &amp; CHAR(10),
          IF(K48&lt;&gt;"",
             "Situación: " &amp; K48 &amp; CHAR(10),
             IF(L48&lt;&gt;"",
                "Calificación: " &amp; L48 &amp; "%" &amp; CHAR(10),
                CHAR(10)))),
       "Meses: ", M48, CHAR(10),
       "Score: ", N48, CHAR(10),
       "Banco: ", O48
)</f>
        <v>Para diciembre de este año
Situación: NO CALIFICA POR SCORE 
Meses: 
Score: 305
Banco: E</v>
      </c>
      <c r="Q48" s="13" t="s">
        <v>53</v>
      </c>
    </row>
    <row r="49" spans="1:17" x14ac:dyDescent="0.25">
      <c r="A49" s="7" t="s">
        <v>222</v>
      </c>
      <c r="B49" s="19" t="s">
        <v>223</v>
      </c>
      <c r="C49" s="9"/>
      <c r="D49" s="18">
        <v>74948583</v>
      </c>
      <c r="E49" s="9" t="s">
        <v>145</v>
      </c>
      <c r="F49" s="9"/>
      <c r="G49" s="11" t="s">
        <v>224</v>
      </c>
      <c r="H49" s="19" t="s">
        <v>21</v>
      </c>
      <c r="I49" s="9" t="s">
        <v>39</v>
      </c>
      <c r="J49" s="9" t="s">
        <v>126</v>
      </c>
      <c r="K49" s="16" t="s">
        <v>133</v>
      </c>
      <c r="L49" s="9" t="s">
        <v>23</v>
      </c>
      <c r="M49" s="16"/>
      <c r="N49" s="17">
        <v>293</v>
      </c>
      <c r="O49" s="16" t="s">
        <v>128</v>
      </c>
      <c r="P49" s="8" t="str">
        <f>_xlfn.CONCAT(I49,CHAR(10),
       IF(AND(K49&lt;&gt;"", L49&lt;&gt;""),
          "Situación: " &amp; K49 &amp; CHAR(10) &amp; "Calificación: " &amp; L49 &amp; "%" &amp; CHAR(10),
          IF(K49&lt;&gt;"",
             "Situación: " &amp; K49 &amp; CHAR(10),
             IF(L49&lt;&gt;"",
                "Calificación: " &amp; L49 &amp; "%" &amp; CHAR(10),
                CHAR(10)))),
       "Meses: ", M49, CHAR(10),
       "Score: ", N49, CHAR(10),
       "Banco: ", O49
)</f>
        <v>Directo a Whatsapp
Situación: NO CALIFICA POR SCORE 
Meses: 
Score: 293
Banco: E</v>
      </c>
      <c r="Q49" s="13" t="s">
        <v>24</v>
      </c>
    </row>
    <row r="50" spans="1:17" x14ac:dyDescent="0.25">
      <c r="A50" s="7" t="s">
        <v>225</v>
      </c>
      <c r="B50" s="9" t="s">
        <v>226</v>
      </c>
      <c r="C50" s="9"/>
      <c r="D50" s="10">
        <v>72455641</v>
      </c>
      <c r="E50" s="8" t="s">
        <v>227</v>
      </c>
      <c r="F50" s="9"/>
      <c r="G50" s="14" t="s">
        <v>228</v>
      </c>
      <c r="H50" s="8" t="s">
        <v>21</v>
      </c>
      <c r="I50" s="9" t="s">
        <v>34</v>
      </c>
      <c r="J50" s="9" t="s">
        <v>164</v>
      </c>
      <c r="K50" s="16" t="s">
        <v>200</v>
      </c>
      <c r="L50" s="9" t="s">
        <v>23</v>
      </c>
      <c r="M50" s="16"/>
      <c r="N50" s="17">
        <v>475</v>
      </c>
      <c r="O50" s="16" t="s">
        <v>229</v>
      </c>
      <c r="P50" s="8" t="str">
        <f>_xlfn.CONCAT(I50,CHAR(10),
       IF(AND(K50&lt;&gt;"", L50&lt;&gt;""),
          "Situación: " &amp; K50 &amp; CHAR(10) &amp; "Calificación: " &amp; L50 &amp; "%" &amp; CHAR(10),
          IF(K50&lt;&gt;"",
             "Situación: " &amp; K50 &amp; CHAR(10),
             IF(L50&lt;&gt;"",
                "Calificación: " &amp; L50 &amp; "%" &amp; CHAR(10),
                CHAR(10)))),
       "Meses: ", M50, CHAR(10),
       "Score: ", N50, CHAR(10),
       "Banco: ", O50
)</f>
        <v>El próximo año
Situación: MAL SBS 
Meses: 
Score: 475
Banco: A</v>
      </c>
      <c r="Q50" s="13" t="s">
        <v>53</v>
      </c>
    </row>
    <row r="51" spans="1:17" x14ac:dyDescent="0.25">
      <c r="A51" s="7" t="s">
        <v>230</v>
      </c>
      <c r="B51" s="9" t="s">
        <v>231</v>
      </c>
      <c r="C51" s="9"/>
      <c r="D51" s="18">
        <v>71285678</v>
      </c>
      <c r="E51" s="9" t="s">
        <v>145</v>
      </c>
      <c r="F51" s="9"/>
      <c r="G51" s="11" t="s">
        <v>232</v>
      </c>
      <c r="H51" s="19" t="s">
        <v>21</v>
      </c>
      <c r="I51" s="9" t="s">
        <v>39</v>
      </c>
      <c r="J51" s="9" t="s">
        <v>156</v>
      </c>
      <c r="K51" s="16"/>
      <c r="L51" s="9">
        <v>10</v>
      </c>
      <c r="M51" s="16">
        <v>6</v>
      </c>
      <c r="N51" s="17">
        <v>429</v>
      </c>
      <c r="O51" s="16" t="s">
        <v>138</v>
      </c>
      <c r="P51" s="8" t="str">
        <f>_xlfn.CONCAT(I51,CHAR(10),
       IF(AND(K51&lt;&gt;"", L51&lt;&gt;""),
          "Situación: " &amp; K51 &amp; CHAR(10) &amp; "Calificación: " &amp; L51 &amp; "%" &amp; CHAR(10),
          IF(K51&lt;&gt;"",
             "Situación: " &amp; K51 &amp; CHAR(10),
             IF(L51&lt;&gt;"",
                "Calificación: " &amp; L51 &amp; "%" &amp; CHAR(10),
                CHAR(10)))),
       "Meses: ", M51, CHAR(10),
       "Score: ", N51, CHAR(10),
       "Banco: ", O51
)</f>
        <v>Directo a Whatsapp
Calificación: 10%
Meses: 6
Score: 429
Banco: C</v>
      </c>
      <c r="Q51" s="13" t="s">
        <v>24</v>
      </c>
    </row>
    <row r="52" spans="1:17" x14ac:dyDescent="0.25">
      <c r="A52" s="7" t="s">
        <v>233</v>
      </c>
      <c r="B52" s="9" t="s">
        <v>234</v>
      </c>
      <c r="C52" s="9"/>
      <c r="D52" s="18">
        <v>43628029</v>
      </c>
      <c r="E52" s="9" t="s">
        <v>145</v>
      </c>
      <c r="F52" s="9"/>
      <c r="G52" s="11" t="s">
        <v>235</v>
      </c>
      <c r="H52" s="19" t="s">
        <v>155</v>
      </c>
      <c r="I52" s="9" t="s">
        <v>39</v>
      </c>
      <c r="J52" s="9" t="s">
        <v>126</v>
      </c>
      <c r="K52" s="16" t="s">
        <v>127</v>
      </c>
      <c r="L52" s="9" t="s">
        <v>23</v>
      </c>
      <c r="M52" s="16"/>
      <c r="N52" s="17">
        <v>323</v>
      </c>
      <c r="O52" s="16" t="s">
        <v>128</v>
      </c>
      <c r="P52" s="8" t="str">
        <f>_xlfn.CONCAT(I52,CHAR(10),
       IF(AND(K52&lt;&gt;"", L52&lt;&gt;""),
          "Situación: " &amp; K52 &amp; CHAR(10) &amp; "Calificación: " &amp; L52 &amp; "%" &amp; CHAR(10),
          IF(K52&lt;&gt;"",
             "Situación: " &amp; K52 &amp; CHAR(10),
             IF(L52&lt;&gt;"",
                "Calificación: " &amp; L52 &amp; "%" &amp; CHAR(10),
                CHAR(10)))),
       "Meses: ", M52, CHAR(10),
       "Score: ", N52, CHAR(10),
       "Banco: ", O52
)</f>
        <v>Directo a Whatsapp
Situación: BAJO SCORE / MAL SBS 
Meses: 
Score: 323
Banco: E</v>
      </c>
      <c r="Q52" s="13" t="s">
        <v>24</v>
      </c>
    </row>
    <row r="53" spans="1:17" x14ac:dyDescent="0.25">
      <c r="A53" s="7" t="s">
        <v>236</v>
      </c>
      <c r="B53" s="9" t="s">
        <v>237</v>
      </c>
      <c r="C53" s="9"/>
      <c r="D53" s="18">
        <v>75125516</v>
      </c>
      <c r="E53" s="9" t="s">
        <v>145</v>
      </c>
      <c r="F53" s="9"/>
      <c r="G53" s="11" t="s">
        <v>238</v>
      </c>
      <c r="H53" s="19" t="s">
        <v>21</v>
      </c>
      <c r="I53" s="9" t="s">
        <v>39</v>
      </c>
      <c r="J53" s="9" t="s">
        <v>126</v>
      </c>
      <c r="K53" s="16" t="s">
        <v>133</v>
      </c>
      <c r="L53" s="9" t="s">
        <v>23</v>
      </c>
      <c r="M53" s="16"/>
      <c r="N53" s="17">
        <v>290</v>
      </c>
      <c r="O53" s="16" t="s">
        <v>128</v>
      </c>
      <c r="P53" s="8" t="str">
        <f>_xlfn.CONCAT(I53,CHAR(10),
       IF(AND(K53&lt;&gt;"", L53&lt;&gt;""),
          "Situación: " &amp; K53 &amp; CHAR(10) &amp; "Calificación: " &amp; L53 &amp; "%" &amp; CHAR(10),
          IF(K53&lt;&gt;"",
             "Situación: " &amp; K53 &amp; CHAR(10),
             IF(L53&lt;&gt;"",
                "Calificación: " &amp; L53 &amp; "%" &amp; CHAR(10),
                CHAR(10)))),
       "Meses: ", M53, CHAR(10),
       "Score: ", N53, CHAR(10),
       "Banco: ", O53
)</f>
        <v>Directo a Whatsapp
Situación: NO CALIFICA POR SCORE 
Meses: 
Score: 290
Banco: E</v>
      </c>
      <c r="Q53" s="13" t="s">
        <v>24</v>
      </c>
    </row>
    <row r="54" spans="1:17" x14ac:dyDescent="0.25">
      <c r="A54" s="7" t="s">
        <v>239</v>
      </c>
      <c r="B54" s="9" t="s">
        <v>240</v>
      </c>
      <c r="C54" s="9"/>
      <c r="D54" s="18">
        <v>74569524</v>
      </c>
      <c r="E54" s="9" t="s">
        <v>145</v>
      </c>
      <c r="F54" s="9"/>
      <c r="G54" s="11" t="s">
        <v>241</v>
      </c>
      <c r="H54" s="19" t="s">
        <v>242</v>
      </c>
      <c r="I54" s="9" t="s">
        <v>39</v>
      </c>
      <c r="J54" s="9" t="s">
        <v>126</v>
      </c>
      <c r="K54" s="16" t="s">
        <v>127</v>
      </c>
      <c r="L54" s="9" t="s">
        <v>23</v>
      </c>
      <c r="M54" s="16"/>
      <c r="N54" s="17">
        <v>232</v>
      </c>
      <c r="O54" s="16" t="s">
        <v>128</v>
      </c>
      <c r="P54" s="8" t="str">
        <f>_xlfn.CONCAT(I54,CHAR(10),
       IF(AND(K54&lt;&gt;"", L54&lt;&gt;""),
          "Situación: " &amp; K54 &amp; CHAR(10) &amp; "Calificación: " &amp; L54 &amp; "%" &amp; CHAR(10),
          IF(K54&lt;&gt;"",
             "Situación: " &amp; K54 &amp; CHAR(10),
             IF(L54&lt;&gt;"",
                "Calificación: " &amp; L54 &amp; "%" &amp; CHAR(10),
                CHAR(10)))),
       "Meses: ", M54, CHAR(10),
       "Score: ", N54, CHAR(10),
       "Banco: ", O54
)</f>
        <v>Directo a Whatsapp
Situación: BAJO SCORE / MAL SBS 
Meses: 
Score: 232
Banco: E</v>
      </c>
      <c r="Q54" s="13" t="s">
        <v>24</v>
      </c>
    </row>
    <row r="55" spans="1:17" x14ac:dyDescent="0.25">
      <c r="A55" s="7" t="s">
        <v>243</v>
      </c>
      <c r="B55" s="9" t="s">
        <v>244</v>
      </c>
      <c r="C55" s="9"/>
      <c r="D55" s="18">
        <v>40391145</v>
      </c>
      <c r="E55" s="9" t="s">
        <v>145</v>
      </c>
      <c r="F55" s="9"/>
      <c r="G55" s="11" t="s">
        <v>245</v>
      </c>
      <c r="H55" s="19" t="s">
        <v>246</v>
      </c>
      <c r="I55" s="9" t="s">
        <v>39</v>
      </c>
      <c r="J55" s="9" t="s">
        <v>126</v>
      </c>
      <c r="K55" s="16" t="s">
        <v>133</v>
      </c>
      <c r="L55" s="9" t="s">
        <v>23</v>
      </c>
      <c r="M55" s="16"/>
      <c r="N55" s="17">
        <v>303</v>
      </c>
      <c r="O55" s="16" t="s">
        <v>128</v>
      </c>
      <c r="P55" s="8" t="str">
        <f>_xlfn.CONCAT(I55,CHAR(10),
       IF(AND(K55&lt;&gt;"", L55&lt;&gt;""),
          "Situación: " &amp; K55 &amp; CHAR(10) &amp; "Calificación: " &amp; L55 &amp; "%" &amp; CHAR(10),
          IF(K55&lt;&gt;"",
             "Situación: " &amp; K55 &amp; CHAR(10),
             IF(L55&lt;&gt;"",
                "Calificación: " &amp; L55 &amp; "%" &amp; CHAR(10),
                CHAR(10)))),
       "Meses: ", M55, CHAR(10),
       "Score: ", N55, CHAR(10),
       "Banco: ", O55
)</f>
        <v>Directo a Whatsapp
Situación: NO CALIFICA POR SCORE 
Meses: 
Score: 303
Banco: E</v>
      </c>
      <c r="Q55" s="13" t="s">
        <v>24</v>
      </c>
    </row>
    <row r="56" spans="1:17" x14ac:dyDescent="0.25">
      <c r="A56" s="7" t="s">
        <v>247</v>
      </c>
      <c r="B56" s="9" t="s">
        <v>248</v>
      </c>
      <c r="C56" s="9"/>
      <c r="D56" s="18">
        <v>41239273</v>
      </c>
      <c r="E56" s="9"/>
      <c r="F56" s="9"/>
      <c r="G56" s="11" t="s">
        <v>249</v>
      </c>
      <c r="H56" s="19" t="s">
        <v>21</v>
      </c>
      <c r="I56" s="9" t="s">
        <v>39</v>
      </c>
      <c r="J56" s="9" t="s">
        <v>164</v>
      </c>
      <c r="K56" s="16" t="s">
        <v>200</v>
      </c>
      <c r="L56" s="9" t="s">
        <v>23</v>
      </c>
      <c r="M56" s="16"/>
      <c r="N56" s="17">
        <v>366</v>
      </c>
      <c r="O56" s="16" t="s">
        <v>128</v>
      </c>
      <c r="P56" s="8" t="str">
        <f>_xlfn.CONCAT(I56,CHAR(10),
       IF(AND(K56&lt;&gt;"", L56&lt;&gt;""),
          "Situación: " &amp; K56 &amp; CHAR(10) &amp; "Calificación: " &amp; L56 &amp; "%" &amp; CHAR(10),
          IF(K56&lt;&gt;"",
             "Situación: " &amp; K56 &amp; CHAR(10),
             IF(L56&lt;&gt;"",
                "Calificación: " &amp; L56 &amp; "%" &amp; CHAR(10),
                CHAR(10)))),
       "Meses: ", M56, CHAR(10),
       "Score: ", N56, CHAR(10),
       "Banco: ", O56
)</f>
        <v>Directo a Whatsapp
Situación: MAL SBS 
Meses: 
Score: 366
Banco: E</v>
      </c>
      <c r="Q56" s="13" t="s">
        <v>24</v>
      </c>
    </row>
    <row r="57" spans="1:17" x14ac:dyDescent="0.25">
      <c r="A57" s="7" t="s">
        <v>250</v>
      </c>
      <c r="B57" s="9" t="s">
        <v>251</v>
      </c>
      <c r="C57" s="9"/>
      <c r="D57" s="18">
        <v>42219418</v>
      </c>
      <c r="E57" s="9"/>
      <c r="F57" s="9"/>
      <c r="G57" s="14" t="s">
        <v>252</v>
      </c>
      <c r="H57" s="19" t="s">
        <v>253</v>
      </c>
      <c r="I57" s="9" t="s">
        <v>29</v>
      </c>
      <c r="J57" s="9" t="s">
        <v>156</v>
      </c>
      <c r="K57" s="16"/>
      <c r="L57" s="9">
        <v>10</v>
      </c>
      <c r="M57" s="16">
        <v>6</v>
      </c>
      <c r="N57" s="17">
        <v>395</v>
      </c>
      <c r="O57" s="16" t="s">
        <v>229</v>
      </c>
      <c r="P57" s="8" t="str">
        <f>_xlfn.CONCAT(I57,CHAR(10),
       IF(AND(K57&lt;&gt;"", L57&lt;&gt;""),
          "Situación: " &amp; K57 &amp; CHAR(10) &amp; "Calificación: " &amp; L57 &amp; "%" &amp; CHAR(10),
          IF(K57&lt;&gt;"",
             "Situación: " &amp; K57 &amp; CHAR(10),
             IF(L57&lt;&gt;"",
                "Calificación: " &amp; L57 &amp; "%" &amp; CHAR(10),
                CHAR(10)))),
       "Meses: ", M57, CHAR(10),
       "Score: ", N57, CHAR(10),
       "Banco: ", O57
)</f>
        <v>Lo mas pronto
Calificación: 10%
Meses: 6
Score: 395
Banco: A</v>
      </c>
      <c r="Q57" s="13"/>
    </row>
    <row r="58" spans="1:17" x14ac:dyDescent="0.25">
      <c r="A58" s="7" t="s">
        <v>254</v>
      </c>
      <c r="B58" s="9" t="s">
        <v>255</v>
      </c>
      <c r="C58" s="9"/>
      <c r="D58" s="18">
        <v>70266912</v>
      </c>
      <c r="E58" s="9"/>
      <c r="F58" s="9"/>
      <c r="G58" s="11" t="s">
        <v>256</v>
      </c>
      <c r="H58" s="19" t="s">
        <v>21</v>
      </c>
      <c r="I58" s="9" t="s">
        <v>39</v>
      </c>
      <c r="J58" s="9" t="s">
        <v>126</v>
      </c>
      <c r="K58" s="16" t="s">
        <v>133</v>
      </c>
      <c r="L58" s="9" t="s">
        <v>23</v>
      </c>
      <c r="M58" s="16"/>
      <c r="N58" s="17">
        <v>290</v>
      </c>
      <c r="O58" s="16" t="s">
        <v>128</v>
      </c>
      <c r="P58" s="8" t="str">
        <f>_xlfn.CONCAT(I58,CHAR(10),
       IF(AND(K58&lt;&gt;"", L58&lt;&gt;""),
          "Situación: " &amp; K58 &amp; CHAR(10) &amp; "Calificación: " &amp; L58 &amp; "%" &amp; CHAR(10),
          IF(K58&lt;&gt;"",
             "Situación: " &amp; K58 &amp; CHAR(10),
             IF(L58&lt;&gt;"",
                "Calificación: " &amp; L58 &amp; "%" &amp; CHAR(10),
                CHAR(10)))),
       "Meses: ", M58, CHAR(10),
       "Score: ", N58, CHAR(10),
       "Banco: ", O58
)</f>
        <v>Directo a Whatsapp
Situación: NO CALIFICA POR SCORE 
Meses: 
Score: 290
Banco: E</v>
      </c>
      <c r="Q58" s="13" t="s">
        <v>24</v>
      </c>
    </row>
    <row r="59" spans="1:17" x14ac:dyDescent="0.25">
      <c r="A59" s="7" t="s">
        <v>257</v>
      </c>
      <c r="B59" s="9" t="s">
        <v>258</v>
      </c>
      <c r="C59" s="9"/>
      <c r="D59" s="18">
        <v>70507564</v>
      </c>
      <c r="E59" s="9"/>
      <c r="F59" s="9"/>
      <c r="G59" s="11" t="s">
        <v>259</v>
      </c>
      <c r="H59" s="19" t="s">
        <v>21</v>
      </c>
      <c r="I59" s="9" t="s">
        <v>39</v>
      </c>
      <c r="J59" s="9" t="s">
        <v>126</v>
      </c>
      <c r="K59" s="16" t="s">
        <v>133</v>
      </c>
      <c r="L59" s="9" t="s">
        <v>23</v>
      </c>
      <c r="M59" s="16"/>
      <c r="N59" s="17">
        <v>279</v>
      </c>
      <c r="O59" s="16" t="s">
        <v>260</v>
      </c>
      <c r="P59" s="8" t="str">
        <f>_xlfn.CONCAT(I59,CHAR(10),
       IF(AND(K59&lt;&gt;"", L59&lt;&gt;""),
          "Situación: " &amp; K59 &amp; CHAR(10) &amp; "Calificación: " &amp; L59 &amp; "%" &amp; CHAR(10),
          IF(K59&lt;&gt;"",
             "Situación: " &amp; K59 &amp; CHAR(10),
             IF(L59&lt;&gt;"",
                "Calificación: " &amp; L59 &amp; "%" &amp; CHAR(10),
                CHAR(10)))),
       "Meses: ", M59, CHAR(10),
       "Score: ", N59, CHAR(10),
       "Banco: ", O59
)</f>
        <v>Directo a Whatsapp
Situación: NO CALIFICA POR SCORE 
Meses: 
Score: 279
Banco: D</v>
      </c>
      <c r="Q59" s="13" t="s">
        <v>24</v>
      </c>
    </row>
    <row r="60" spans="1:17" x14ac:dyDescent="0.25">
      <c r="A60" s="7" t="s">
        <v>261</v>
      </c>
      <c r="B60" s="9" t="s">
        <v>262</v>
      </c>
      <c r="C60" s="9"/>
      <c r="D60" s="18">
        <v>47041778</v>
      </c>
      <c r="E60" s="9"/>
      <c r="F60" s="9"/>
      <c r="G60" s="11" t="s">
        <v>263</v>
      </c>
      <c r="H60" s="19" t="s">
        <v>264</v>
      </c>
      <c r="I60" s="9" t="s">
        <v>39</v>
      </c>
      <c r="J60" s="9" t="s">
        <v>126</v>
      </c>
      <c r="K60" s="16" t="s">
        <v>127</v>
      </c>
      <c r="L60" s="9" t="s">
        <v>23</v>
      </c>
      <c r="M60" s="16"/>
      <c r="N60" s="17">
        <v>317</v>
      </c>
      <c r="O60" s="16" t="s">
        <v>128</v>
      </c>
      <c r="P60" s="8" t="str">
        <f>_xlfn.CONCAT(I60,CHAR(10),
       IF(AND(K60&lt;&gt;"", L60&lt;&gt;""),
          "Situación: " &amp; K60 &amp; CHAR(10) &amp; "Calificación: " &amp; L60 &amp; "%" &amp; CHAR(10),
          IF(K60&lt;&gt;"",
             "Situación: " &amp; K60 &amp; CHAR(10),
             IF(L60&lt;&gt;"",
                "Calificación: " &amp; L60 &amp; "%" &amp; CHAR(10),
                CHAR(10)))),
       "Meses: ", M60, CHAR(10),
       "Score: ", N60, CHAR(10),
       "Banco: ", O60
)</f>
        <v>Directo a Whatsapp
Situación: BAJO SCORE / MAL SBS 
Meses: 
Score: 317
Banco: E</v>
      </c>
      <c r="Q60" s="13" t="s">
        <v>24</v>
      </c>
    </row>
    <row r="61" spans="1:17" x14ac:dyDescent="0.25">
      <c r="A61" s="7" t="s">
        <v>265</v>
      </c>
      <c r="B61" s="9" t="s">
        <v>266</v>
      </c>
      <c r="C61" s="9"/>
      <c r="D61" s="18">
        <v>42034172</v>
      </c>
      <c r="E61" s="9"/>
      <c r="F61" s="9"/>
      <c r="G61" s="11" t="s">
        <v>267</v>
      </c>
      <c r="H61" s="19" t="s">
        <v>21</v>
      </c>
      <c r="I61" s="9" t="s">
        <v>39</v>
      </c>
      <c r="J61" s="9" t="s">
        <v>126</v>
      </c>
      <c r="K61" s="16" t="s">
        <v>133</v>
      </c>
      <c r="L61" s="9" t="s">
        <v>23</v>
      </c>
      <c r="M61" s="16"/>
      <c r="N61" s="17">
        <v>293</v>
      </c>
      <c r="O61" s="16" t="s">
        <v>128</v>
      </c>
      <c r="P61" s="8" t="str">
        <f>_xlfn.CONCAT(I61,CHAR(10),
       IF(AND(K61&lt;&gt;"", L61&lt;&gt;""),
          "Situación: " &amp; K61 &amp; CHAR(10) &amp; "Calificación: " &amp; L61 &amp; "%" &amp; CHAR(10),
          IF(K61&lt;&gt;"",
             "Situación: " &amp; K61 &amp; CHAR(10),
             IF(L61&lt;&gt;"",
                "Calificación: " &amp; L61 &amp; "%" &amp; CHAR(10),
                CHAR(10)))),
       "Meses: ", M61, CHAR(10),
       "Score: ", N61, CHAR(10),
       "Banco: ", O61
)</f>
        <v>Directo a Whatsapp
Situación: NO CALIFICA POR SCORE 
Meses: 
Score: 293
Banco: E</v>
      </c>
      <c r="Q61" s="13" t="s">
        <v>24</v>
      </c>
    </row>
    <row r="62" spans="1:17" x14ac:dyDescent="0.25">
      <c r="A62" s="7" t="s">
        <v>268</v>
      </c>
      <c r="B62" s="9" t="s">
        <v>269</v>
      </c>
      <c r="C62" s="9"/>
      <c r="D62" s="18">
        <v>71226524</v>
      </c>
      <c r="E62" s="9"/>
      <c r="F62" s="9"/>
      <c r="G62" s="11" t="s">
        <v>270</v>
      </c>
      <c r="H62" s="19" t="s">
        <v>21</v>
      </c>
      <c r="I62" s="9" t="s">
        <v>39</v>
      </c>
      <c r="J62" s="9" t="s">
        <v>126</v>
      </c>
      <c r="K62" s="16" t="s">
        <v>133</v>
      </c>
      <c r="L62" s="9" t="s">
        <v>23</v>
      </c>
      <c r="M62" s="16"/>
      <c r="N62" s="17">
        <v>236</v>
      </c>
      <c r="O62" s="16" t="s">
        <v>128</v>
      </c>
      <c r="P62" s="8" t="str">
        <f>_xlfn.CONCAT(I62,CHAR(10),
       IF(AND(K62&lt;&gt;"", L62&lt;&gt;""),
          "Situación: " &amp; K62 &amp; CHAR(10) &amp; "Calificación: " &amp; L62 &amp; "%" &amp; CHAR(10),
          IF(K62&lt;&gt;"",
             "Situación: " &amp; K62 &amp; CHAR(10),
             IF(L62&lt;&gt;"",
                "Calificación: " &amp; L62 &amp; "%" &amp; CHAR(10),
                CHAR(10)))),
       "Meses: ", M62, CHAR(10),
       "Score: ", N62, CHAR(10),
       "Banco: ", O62
)</f>
        <v>Directo a Whatsapp
Situación: NO CALIFICA POR SCORE 
Meses: 
Score: 236
Banco: E</v>
      </c>
      <c r="Q62" s="13" t="s">
        <v>24</v>
      </c>
    </row>
    <row r="63" spans="1:17" x14ac:dyDescent="0.25">
      <c r="A63" s="7" t="s">
        <v>271</v>
      </c>
      <c r="B63" s="9" t="s">
        <v>272</v>
      </c>
      <c r="C63" s="9"/>
      <c r="D63" s="18">
        <v>40984460</v>
      </c>
      <c r="E63" s="9"/>
      <c r="F63" s="9"/>
      <c r="G63" s="11" t="s">
        <v>273</v>
      </c>
      <c r="H63" s="19" t="s">
        <v>21</v>
      </c>
      <c r="I63" s="9" t="s">
        <v>39</v>
      </c>
      <c r="J63" s="9" t="s">
        <v>156</v>
      </c>
      <c r="K63" s="16"/>
      <c r="L63" s="9">
        <v>20</v>
      </c>
      <c r="M63" s="16">
        <v>9</v>
      </c>
      <c r="N63" s="17">
        <v>384</v>
      </c>
      <c r="O63" s="16" t="s">
        <v>138</v>
      </c>
      <c r="P63" s="8" t="str">
        <f>_xlfn.CONCAT(I63,CHAR(10),
       IF(AND(K63&lt;&gt;"", L63&lt;&gt;""),
          "Situación: " &amp; K63 &amp; CHAR(10) &amp; "Calificación: " &amp; L63 &amp; "%" &amp; CHAR(10),
          IF(K63&lt;&gt;"",
             "Situación: " &amp; K63 &amp; CHAR(10),
             IF(L63&lt;&gt;"",
                "Calificación: " &amp; L63 &amp; "%" &amp; CHAR(10),
                CHAR(10)))),
       "Meses: ", M63, CHAR(10),
       "Score: ", N63, CHAR(10),
       "Banco: ", O63
)</f>
        <v>Directo a Whatsapp
Calificación: 20%
Meses: 9
Score: 384
Banco: C</v>
      </c>
      <c r="Q63" s="13" t="s">
        <v>24</v>
      </c>
    </row>
    <row r="64" spans="1:17" x14ac:dyDescent="0.25">
      <c r="A64" s="7" t="s">
        <v>274</v>
      </c>
      <c r="B64" s="9" t="s">
        <v>275</v>
      </c>
      <c r="C64" s="9"/>
      <c r="D64" s="18">
        <v>74959795</v>
      </c>
      <c r="E64" s="9"/>
      <c r="F64" s="9"/>
      <c r="G64" s="14" t="s">
        <v>276</v>
      </c>
      <c r="H64" s="19" t="s">
        <v>21</v>
      </c>
      <c r="I64" s="9" t="s">
        <v>34</v>
      </c>
      <c r="J64" s="9" t="s">
        <v>126</v>
      </c>
      <c r="K64" s="16" t="s">
        <v>127</v>
      </c>
      <c r="L64" s="9" t="s">
        <v>23</v>
      </c>
      <c r="M64" s="16"/>
      <c r="N64" s="17">
        <v>311</v>
      </c>
      <c r="O64" s="16" t="s">
        <v>128</v>
      </c>
      <c r="P64" s="8" t="str">
        <f>_xlfn.CONCAT(I64,CHAR(10),
       IF(AND(K64&lt;&gt;"", L64&lt;&gt;""),
          "Situación: " &amp; K64 &amp; CHAR(10) &amp; "Calificación: " &amp; L64 &amp; "%" &amp; CHAR(10),
          IF(K64&lt;&gt;"",
             "Situación: " &amp; K64 &amp; CHAR(10),
             IF(L64&lt;&gt;"",
                "Calificación: " &amp; L64 &amp; "%" &amp; CHAR(10),
                CHAR(10)))),
       "Meses: ", M64, CHAR(10),
       "Score: ", N64, CHAR(10),
       "Banco: ", O64
)</f>
        <v>El próximo año
Situación: BAJO SCORE / MAL SBS 
Meses: 
Score: 311
Banco: E</v>
      </c>
      <c r="Q64" s="13"/>
    </row>
    <row r="65" spans="1:19" x14ac:dyDescent="0.25">
      <c r="A65" s="7" t="s">
        <v>277</v>
      </c>
      <c r="B65" s="9" t="s">
        <v>278</v>
      </c>
      <c r="C65" s="9"/>
      <c r="D65" s="9">
        <v>77032604</v>
      </c>
      <c r="E65" s="9"/>
      <c r="F65" s="9"/>
      <c r="G65" s="14" t="s">
        <v>279</v>
      </c>
      <c r="H65" s="9"/>
      <c r="I65" s="9" t="s">
        <v>39</v>
      </c>
      <c r="J65" s="9" t="s">
        <v>126</v>
      </c>
      <c r="K65" s="16" t="s">
        <v>133</v>
      </c>
      <c r="L65" s="9" t="s">
        <v>23</v>
      </c>
      <c r="M65" s="16"/>
      <c r="N65" s="17">
        <v>290</v>
      </c>
      <c r="O65" s="16" t="s">
        <v>128</v>
      </c>
      <c r="P65" s="8" t="str">
        <f>_xlfn.CONCAT(I65,CHAR(10),
       IF(AND(K65&lt;&gt;"", L65&lt;&gt;""),
          "Situación: " &amp; K65 &amp; CHAR(10) &amp; "Calificación: " &amp; L65 &amp; "%" &amp; CHAR(10),
          IF(K65&lt;&gt;"",
             "Situación: " &amp; K65 &amp; CHAR(10),
             IF(L65&lt;&gt;"",
                "Calificación: " &amp; L65 &amp; "%" &amp; CHAR(10),
                CHAR(10)))),
       "Meses: ", M65, CHAR(10),
       "Score: ", N65, CHAR(10),
       "Banco: ", O65
)</f>
        <v>Directo a Whatsapp
Situación: NO CALIFICA POR SCORE 
Meses: 
Score: 290
Banco: E</v>
      </c>
      <c r="Q65" s="13" t="s">
        <v>24</v>
      </c>
    </row>
    <row r="66" spans="1:19" x14ac:dyDescent="0.25">
      <c r="A66" s="7" t="s">
        <v>280</v>
      </c>
      <c r="B66" s="9" t="s">
        <v>281</v>
      </c>
      <c r="C66" s="9"/>
      <c r="D66" s="23">
        <v>74420459</v>
      </c>
      <c r="E66" s="9"/>
      <c r="F66" s="9"/>
      <c r="G66" s="14" t="s">
        <v>282</v>
      </c>
      <c r="H66" s="19"/>
      <c r="I66" s="9" t="s">
        <v>34</v>
      </c>
      <c r="J66" s="9" t="s">
        <v>126</v>
      </c>
      <c r="K66" s="16" t="s">
        <v>133</v>
      </c>
      <c r="L66" s="9" t="s">
        <v>23</v>
      </c>
      <c r="M66" s="16"/>
      <c r="N66" s="17">
        <v>301</v>
      </c>
      <c r="O66" s="16" t="s">
        <v>128</v>
      </c>
      <c r="P66" s="8" t="str">
        <f>_xlfn.CONCAT(I66,CHAR(10),
       IF(AND(K66&lt;&gt;"", L66&lt;&gt;""),
          "Situación: " &amp; K66 &amp; CHAR(10) &amp; "Calificación: " &amp; L66 &amp; "%" &amp; CHAR(10),
          IF(K66&lt;&gt;"",
             "Situación: " &amp; K66 &amp; CHAR(10),
             IF(L66&lt;&gt;"",
                "Calificación: " &amp; L66 &amp; "%" &amp; CHAR(10),
                CHAR(10)))),
       "Meses: ", M66, CHAR(10),
       "Score: ", N66, CHAR(10),
       "Banco: ", O66
)</f>
        <v>El próximo año
Situación: NO CALIFICA POR SCORE 
Meses: 
Score: 301
Banco: E</v>
      </c>
      <c r="Q66" s="13"/>
    </row>
    <row r="67" spans="1:19" x14ac:dyDescent="0.25">
      <c r="A67" s="7" t="s">
        <v>283</v>
      </c>
      <c r="B67" s="9" t="s">
        <v>284</v>
      </c>
      <c r="C67" s="9"/>
      <c r="D67" s="18">
        <v>44081604</v>
      </c>
      <c r="E67" s="9"/>
      <c r="F67" s="9"/>
      <c r="G67" s="11" t="s">
        <v>285</v>
      </c>
      <c r="H67" s="19" t="s">
        <v>21</v>
      </c>
      <c r="I67" s="9" t="s">
        <v>39</v>
      </c>
      <c r="J67" s="9" t="s">
        <v>156</v>
      </c>
      <c r="K67" s="16"/>
      <c r="L67" s="9">
        <v>20</v>
      </c>
      <c r="M67" s="16">
        <v>6</v>
      </c>
      <c r="N67" s="17">
        <v>393</v>
      </c>
      <c r="O67" s="16" t="s">
        <v>138</v>
      </c>
      <c r="P67" s="8" t="str">
        <f>_xlfn.CONCAT(I67,CHAR(10),
       IF(AND(K67&lt;&gt;"", L67&lt;&gt;""),
          "Situación: " &amp; K67 &amp; CHAR(10) &amp; "Calificación: " &amp; L67 &amp; "%" &amp; CHAR(10),
          IF(K67&lt;&gt;"",
             "Situación: " &amp; K67 &amp; CHAR(10),
             IF(L67&lt;&gt;"",
                "Calificación: " &amp; L67 &amp; "%" &amp; CHAR(10),
                CHAR(10)))),
       "Meses: ", M67, CHAR(10),
       "Score: ", N67, CHAR(10),
       "Banco: ", O67
)</f>
        <v>Directo a Whatsapp
Calificación: 20%
Meses: 6
Score: 393
Banco: C</v>
      </c>
      <c r="Q67" s="13" t="s">
        <v>24</v>
      </c>
    </row>
    <row r="68" spans="1:19" x14ac:dyDescent="0.25">
      <c r="A68" s="7" t="s">
        <v>286</v>
      </c>
      <c r="B68" s="9" t="s">
        <v>287</v>
      </c>
      <c r="C68" s="9"/>
      <c r="D68" s="18">
        <v>44859766</v>
      </c>
      <c r="E68" s="9"/>
      <c r="F68" s="9"/>
      <c r="G68" s="11" t="s">
        <v>288</v>
      </c>
      <c r="H68" s="19" t="s">
        <v>21</v>
      </c>
      <c r="I68" s="9" t="s">
        <v>39</v>
      </c>
      <c r="J68" s="9" t="s">
        <v>164</v>
      </c>
      <c r="K68" s="16" t="s">
        <v>200</v>
      </c>
      <c r="L68" s="9" t="s">
        <v>23</v>
      </c>
      <c r="M68" s="16"/>
      <c r="N68" s="17">
        <v>360</v>
      </c>
      <c r="O68" s="16" t="s">
        <v>138</v>
      </c>
      <c r="P68" s="8" t="str">
        <f>_xlfn.CONCAT(I68,CHAR(10),
       IF(AND(K68&lt;&gt;"", L68&lt;&gt;""),
          "Situación: " &amp; K68 &amp; CHAR(10) &amp; "Calificación: " &amp; L68 &amp; "%" &amp; CHAR(10),
          IF(K68&lt;&gt;"",
             "Situación: " &amp; K68 &amp; CHAR(10),
             IF(L68&lt;&gt;"",
                "Calificación: " &amp; L68 &amp; "%" &amp; CHAR(10),
                CHAR(10)))),
       "Meses: ", M68, CHAR(10),
       "Score: ", N68, CHAR(10),
       "Banco: ", O68
)</f>
        <v>Directo a Whatsapp
Situación: MAL SBS 
Meses: 
Score: 360
Banco: C</v>
      </c>
      <c r="Q68" s="13" t="s">
        <v>24</v>
      </c>
    </row>
    <row r="69" spans="1:19" x14ac:dyDescent="0.25">
      <c r="A69" s="7" t="s">
        <v>289</v>
      </c>
      <c r="B69" s="9" t="s">
        <v>290</v>
      </c>
      <c r="C69" s="9"/>
      <c r="D69" s="18">
        <v>76656797</v>
      </c>
      <c r="E69" s="9"/>
      <c r="F69" s="9"/>
      <c r="G69" s="11" t="s">
        <v>291</v>
      </c>
      <c r="H69" s="19" t="s">
        <v>21</v>
      </c>
      <c r="I69" s="9" t="s">
        <v>39</v>
      </c>
      <c r="J69" s="9" t="s">
        <v>126</v>
      </c>
      <c r="K69" s="16" t="s">
        <v>133</v>
      </c>
      <c r="L69" s="9" t="s">
        <v>23</v>
      </c>
      <c r="M69" s="16"/>
      <c r="N69" s="17">
        <v>282</v>
      </c>
      <c r="O69" s="16" t="s">
        <v>128</v>
      </c>
      <c r="P69" s="8" t="str">
        <f>_xlfn.CONCAT(I69,CHAR(10),
       IF(AND(K69&lt;&gt;"", L69&lt;&gt;""),
          "Situación: " &amp; K69 &amp; CHAR(10) &amp; "Calificación: " &amp; L69 &amp; "%" &amp; CHAR(10),
          IF(K69&lt;&gt;"",
             "Situación: " &amp; K69 &amp; CHAR(10),
             IF(L69&lt;&gt;"",
                "Calificación: " &amp; L69 &amp; "%" &amp; CHAR(10),
                CHAR(10)))),
       "Meses: ", M69, CHAR(10),
       "Score: ", N69, CHAR(10),
       "Banco: ", O69
)</f>
        <v>Directo a Whatsapp
Situación: NO CALIFICA POR SCORE 
Meses: 
Score: 282
Banco: E</v>
      </c>
      <c r="Q69" s="13" t="s">
        <v>24</v>
      </c>
    </row>
    <row r="70" spans="1:19" x14ac:dyDescent="0.25">
      <c r="A70" s="7" t="s">
        <v>292</v>
      </c>
      <c r="B70" s="9" t="s">
        <v>293</v>
      </c>
      <c r="C70" s="9"/>
      <c r="D70" s="18">
        <v>72914732</v>
      </c>
      <c r="E70" s="9"/>
      <c r="F70" s="9"/>
      <c r="G70" s="11" t="s">
        <v>294</v>
      </c>
      <c r="H70" s="19" t="s">
        <v>21</v>
      </c>
      <c r="I70" s="9" t="s">
        <v>39</v>
      </c>
      <c r="J70" s="9" t="s">
        <v>164</v>
      </c>
      <c r="K70" s="16" t="s">
        <v>200</v>
      </c>
      <c r="L70" s="9" t="s">
        <v>23</v>
      </c>
      <c r="M70" s="16"/>
      <c r="N70" s="17">
        <v>372</v>
      </c>
      <c r="O70" s="16" t="s">
        <v>128</v>
      </c>
      <c r="P70" s="8" t="str">
        <f>_xlfn.CONCAT(I70,CHAR(10),
       IF(AND(K70&lt;&gt;"", L70&lt;&gt;""),
          "Situación: " &amp; K70 &amp; CHAR(10) &amp; "Calificación: " &amp; L70 &amp; "%" &amp; CHAR(10),
          IF(K70&lt;&gt;"",
             "Situación: " &amp; K70 &amp; CHAR(10),
             IF(L70&lt;&gt;"",
                "Calificación: " &amp; L70 &amp; "%" &amp; CHAR(10),
                CHAR(10)))),
       "Meses: ", M70, CHAR(10),
       "Score: ", N70, CHAR(10),
       "Banco: ", O70
)</f>
        <v>Directo a Whatsapp
Situación: MAL SBS 
Meses: 
Score: 372
Banco: E</v>
      </c>
      <c r="Q70" s="13" t="s">
        <v>24</v>
      </c>
      <c r="S70" t="s">
        <v>24</v>
      </c>
    </row>
    <row r="71" spans="1:19" x14ac:dyDescent="0.25">
      <c r="A71" s="7" t="s">
        <v>295</v>
      </c>
      <c r="B71" s="9" t="s">
        <v>296</v>
      </c>
      <c r="C71" s="9"/>
      <c r="D71" s="18">
        <v>70257170</v>
      </c>
      <c r="E71" s="9"/>
      <c r="F71" s="9"/>
      <c r="G71" s="11" t="s">
        <v>297</v>
      </c>
      <c r="H71" s="19" t="s">
        <v>21</v>
      </c>
      <c r="I71" s="9" t="s">
        <v>39</v>
      </c>
      <c r="J71" s="9" t="s">
        <v>156</v>
      </c>
      <c r="K71" s="16"/>
      <c r="L71" s="9">
        <v>20</v>
      </c>
      <c r="M71" s="16">
        <v>9</v>
      </c>
      <c r="N71" s="17">
        <v>344</v>
      </c>
      <c r="O71" s="16" t="s">
        <v>128</v>
      </c>
      <c r="P71" s="8" t="str">
        <f>_xlfn.CONCAT(I71,CHAR(10),
       IF(AND(K71&lt;&gt;"", L71&lt;&gt;""),
          "Situación: " &amp; K71 &amp; CHAR(10) &amp; "Calificación: " &amp; L71 &amp; "%" &amp; CHAR(10),
          IF(K71&lt;&gt;"",
             "Situación: " &amp; K71 &amp; CHAR(10),
             IF(L71&lt;&gt;"",
                "Calificación: " &amp; L71 &amp; "%" &amp; CHAR(10),
                CHAR(10)))),
       "Meses: ", M71, CHAR(10),
       "Score: ", N71, CHAR(10),
       "Banco: ", O71
)</f>
        <v>Directo a Whatsapp
Calificación: 20%
Meses: 9
Score: 344
Banco: E</v>
      </c>
      <c r="Q71" s="13" t="s">
        <v>24</v>
      </c>
      <c r="S71" t="s">
        <v>24</v>
      </c>
    </row>
    <row r="72" spans="1:19" x14ac:dyDescent="0.25">
      <c r="A72" s="7" t="s">
        <v>298</v>
      </c>
      <c r="B72" s="9" t="s">
        <v>299</v>
      </c>
      <c r="C72" s="9"/>
      <c r="D72" s="18">
        <v>70293307</v>
      </c>
      <c r="E72" s="9"/>
      <c r="F72" s="9"/>
      <c r="G72" s="14" t="s">
        <v>300</v>
      </c>
      <c r="H72" s="19" t="s">
        <v>21</v>
      </c>
      <c r="I72" s="9" t="s">
        <v>29</v>
      </c>
      <c r="J72" s="9" t="s">
        <v>126</v>
      </c>
      <c r="K72" s="16" t="s">
        <v>127</v>
      </c>
      <c r="L72" s="9" t="s">
        <v>23</v>
      </c>
      <c r="M72" s="16"/>
      <c r="N72" s="17">
        <v>313</v>
      </c>
      <c r="O72" s="16" t="s">
        <v>128</v>
      </c>
      <c r="P72" s="8" t="str">
        <f>_xlfn.CONCAT(I72,CHAR(10),
       IF(AND(K72&lt;&gt;"", L72&lt;&gt;""),
          "Situación: " &amp; K72 &amp; CHAR(10) &amp; "Calificación: " &amp; L72 &amp; "%" &amp; CHAR(10),
          IF(K72&lt;&gt;"",
             "Situación: " &amp; K72 &amp; CHAR(10),
             IF(L72&lt;&gt;"",
                "Calificación: " &amp; L72 &amp; "%" &amp; CHAR(10),
                CHAR(10)))),
       "Meses: ", M72, CHAR(10),
       "Score: ", N72, CHAR(10),
       "Banco: ", O72
)</f>
        <v>Lo mas pronto
Situación: BAJO SCORE / MAL SBS 
Meses: 
Score: 313
Banco: E</v>
      </c>
      <c r="Q72" s="13"/>
      <c r="S72" t="s">
        <v>24</v>
      </c>
    </row>
    <row r="73" spans="1:19" x14ac:dyDescent="0.25">
      <c r="A73" s="7" t="s">
        <v>301</v>
      </c>
      <c r="B73" s="9" t="s">
        <v>302</v>
      </c>
      <c r="C73" s="9"/>
      <c r="D73" s="23">
        <v>45444977</v>
      </c>
      <c r="E73" s="9"/>
      <c r="F73" s="9"/>
      <c r="G73" s="14" t="s">
        <v>303</v>
      </c>
      <c r="H73" s="9"/>
      <c r="I73" s="9" t="s">
        <v>39</v>
      </c>
      <c r="J73" s="9" t="s">
        <v>156</v>
      </c>
      <c r="K73" s="16"/>
      <c r="L73" s="9">
        <v>20</v>
      </c>
      <c r="M73" s="16">
        <v>6</v>
      </c>
      <c r="N73" s="17">
        <v>388</v>
      </c>
      <c r="O73" s="16" t="s">
        <v>128</v>
      </c>
      <c r="P73" s="8" t="str">
        <f>_xlfn.CONCAT(I73,CHAR(10),
       IF(AND(K73&lt;&gt;"", L73&lt;&gt;""),
          "Situación: " &amp; K73 &amp; CHAR(10) &amp; "Calificación: " &amp; L73 &amp; "%" &amp; CHAR(10),
          IF(K73&lt;&gt;"",
             "Situación: " &amp; K73 &amp; CHAR(10),
             IF(L73&lt;&gt;"",
                "Calificación: " &amp; L73 &amp; "%" &amp; CHAR(10),
                CHAR(10)))),
       "Meses: ", M73, CHAR(10),
       "Score: ", N73, CHAR(10),
       "Banco: ", O73
)</f>
        <v>Directo a Whatsapp
Calificación: 20%
Meses: 6
Score: 388
Banco: E</v>
      </c>
      <c r="Q73" s="13"/>
      <c r="S73" t="s">
        <v>24</v>
      </c>
    </row>
    <row r="74" spans="1:19" x14ac:dyDescent="0.25">
      <c r="A74" s="7" t="s">
        <v>304</v>
      </c>
      <c r="B74" s="9" t="s">
        <v>305</v>
      </c>
      <c r="C74" s="9"/>
      <c r="D74" s="18">
        <v>43482416</v>
      </c>
      <c r="E74" s="9"/>
      <c r="F74" s="9"/>
      <c r="G74" s="14" t="s">
        <v>306</v>
      </c>
      <c r="H74" s="19" t="s">
        <v>307</v>
      </c>
      <c r="I74" s="9" t="s">
        <v>39</v>
      </c>
      <c r="J74" s="9" t="s">
        <v>126</v>
      </c>
      <c r="K74" s="16" t="s">
        <v>133</v>
      </c>
      <c r="L74" s="9" t="s">
        <v>23</v>
      </c>
      <c r="M74" s="16"/>
      <c r="N74" s="17">
        <v>305</v>
      </c>
      <c r="O74" s="16" t="s">
        <v>128</v>
      </c>
      <c r="P74" s="8" t="str">
        <f>_xlfn.CONCAT(I74,CHAR(10),
       IF(AND(K74&lt;&gt;"", L74&lt;&gt;""),
          "Situación: " &amp; K74 &amp; CHAR(10) &amp; "Calificación: " &amp; L74 &amp; "%" &amp; CHAR(10),
          IF(K74&lt;&gt;"",
             "Situación: " &amp; K74 &amp; CHAR(10),
             IF(L74&lt;&gt;"",
                "Calificación: " &amp; L74 &amp; "%" &amp; CHAR(10),
                CHAR(10)))),
       "Meses: ", M74, CHAR(10),
       "Score: ", N74, CHAR(10),
       "Banco: ", O74
)</f>
        <v>Directo a Whatsapp
Situación: NO CALIFICA POR SCORE 
Meses: 
Score: 305
Banco: E</v>
      </c>
      <c r="Q74" s="13"/>
      <c r="S74" t="s">
        <v>24</v>
      </c>
    </row>
    <row r="75" spans="1:19" x14ac:dyDescent="0.25">
      <c r="A75" s="7" t="s">
        <v>308</v>
      </c>
      <c r="B75" s="9" t="s">
        <v>309</v>
      </c>
      <c r="C75" s="9"/>
      <c r="D75" s="18">
        <v>3875403</v>
      </c>
      <c r="E75" s="9"/>
      <c r="F75" s="9"/>
      <c r="G75" s="14" t="s">
        <v>310</v>
      </c>
      <c r="H75" s="19" t="s">
        <v>92</v>
      </c>
      <c r="I75" s="9" t="s">
        <v>29</v>
      </c>
      <c r="J75" s="9" t="s">
        <v>126</v>
      </c>
      <c r="K75" s="16" t="s">
        <v>311</v>
      </c>
      <c r="L75" s="9" t="s">
        <v>23</v>
      </c>
      <c r="M75" s="16"/>
      <c r="N75" s="17">
        <v>300</v>
      </c>
      <c r="O75" s="16" t="s">
        <v>128</v>
      </c>
      <c r="P75" s="8" t="str">
        <f>_xlfn.CONCAT(I75,CHAR(10),
       IF(AND(K75&lt;&gt;"", L75&lt;&gt;""),
          "Situación: " &amp; K75 &amp; CHAR(10) &amp; "Calificación: " &amp; L75 &amp; "%" &amp; CHAR(10),
          IF(K75&lt;&gt;"",
             "Situación: " &amp; K75 &amp; CHAR(10),
             IF(L75&lt;&gt;"",
                "Calificación: " &amp; L75 &amp; "%" &amp; CHAR(10),
                CHAR(10)))),
       "Meses: ", M75, CHAR(10),
       "Score: ", N75, CHAR(10),
       "Banco: ", O75
)</f>
        <v>Lo mas pronto
Situación: POR EDAD NO CALIFICA
Meses: 
Score: 300
Banco: E</v>
      </c>
      <c r="Q75" s="13"/>
      <c r="S75" t="s">
        <v>24</v>
      </c>
    </row>
    <row r="76" spans="1:19" x14ac:dyDescent="0.25">
      <c r="A76" s="7" t="s">
        <v>312</v>
      </c>
      <c r="B76" s="9" t="s">
        <v>313</v>
      </c>
      <c r="C76" s="9"/>
      <c r="D76" s="18">
        <v>71241938</v>
      </c>
      <c r="E76" s="9"/>
      <c r="F76" s="9"/>
      <c r="G76" s="14" t="s">
        <v>314</v>
      </c>
      <c r="H76" s="19" t="s">
        <v>21</v>
      </c>
      <c r="I76" s="9" t="s">
        <v>34</v>
      </c>
      <c r="J76" s="9" t="s">
        <v>126</v>
      </c>
      <c r="K76" s="16" t="s">
        <v>133</v>
      </c>
      <c r="L76" s="9" t="s">
        <v>23</v>
      </c>
      <c r="M76" s="16"/>
      <c r="N76" s="17">
        <v>236</v>
      </c>
      <c r="O76" s="16" t="s">
        <v>128</v>
      </c>
      <c r="P76" s="8" t="str">
        <f>_xlfn.CONCAT(I76,CHAR(10),
       IF(AND(K76&lt;&gt;"", L76&lt;&gt;""),
          "Situación: " &amp; K76 &amp; CHAR(10) &amp; "Calificación: " &amp; L76 &amp; "%" &amp; CHAR(10),
          IF(K76&lt;&gt;"",
             "Situación: " &amp; K76 &amp; CHAR(10),
             IF(L76&lt;&gt;"",
                "Calificación: " &amp; L76 &amp; "%" &amp; CHAR(10),
                CHAR(10)))),
       "Meses: ", M76, CHAR(10),
       "Score: ", N76, CHAR(10),
       "Banco: ", O76
)</f>
        <v>El próximo año
Situación: NO CALIFICA POR SCORE 
Meses: 
Score: 236
Banco: E</v>
      </c>
      <c r="Q76" s="13"/>
      <c r="S76" t="s">
        <v>24</v>
      </c>
    </row>
    <row r="77" spans="1:19" x14ac:dyDescent="0.25">
      <c r="A77" s="7" t="s">
        <v>315</v>
      </c>
      <c r="B77" s="9" t="s">
        <v>316</v>
      </c>
      <c r="C77" s="9"/>
      <c r="D77" s="18">
        <v>46863769</v>
      </c>
      <c r="E77" s="9"/>
      <c r="F77" s="9"/>
      <c r="G77" s="14" t="s">
        <v>317</v>
      </c>
      <c r="H77" s="19" t="s">
        <v>21</v>
      </c>
      <c r="I77" s="9" t="s">
        <v>29</v>
      </c>
      <c r="J77" s="9" t="s">
        <v>156</v>
      </c>
      <c r="K77" s="16"/>
      <c r="L77" s="9">
        <v>10</v>
      </c>
      <c r="M77" s="16">
        <v>6</v>
      </c>
      <c r="N77" s="17">
        <v>427</v>
      </c>
      <c r="O77" s="16" t="s">
        <v>166</v>
      </c>
      <c r="P77" s="8" t="str">
        <f>_xlfn.CONCAT(I77,CHAR(10),
       IF(AND(K77&lt;&gt;"", L77&lt;&gt;""),
          "Situación: " &amp; K77 &amp; CHAR(10) &amp; "Calificación: " &amp; L77 &amp; "%" &amp; CHAR(10),
          IF(K77&lt;&gt;"",
             "Situación: " &amp; K77 &amp; CHAR(10),
             IF(L77&lt;&gt;"",
                "Calificación: " &amp; L77 &amp; "%" &amp; CHAR(10),
                CHAR(10)))),
       "Meses: ", M77, CHAR(10),
       "Score: ", N77, CHAR(10),
       "Banco: ", O77
)</f>
        <v>Lo mas pronto
Calificación: 10%
Meses: 6
Score: 427
Banco: B</v>
      </c>
      <c r="Q77" s="13"/>
      <c r="S77" t="s">
        <v>24</v>
      </c>
    </row>
    <row r="78" spans="1:19" x14ac:dyDescent="0.25">
      <c r="A78" s="7" t="s">
        <v>318</v>
      </c>
      <c r="B78" s="9" t="s">
        <v>319</v>
      </c>
      <c r="C78" s="9"/>
      <c r="D78" s="18">
        <v>75943328</v>
      </c>
      <c r="E78" s="18"/>
      <c r="F78" s="9"/>
      <c r="G78" s="14" t="s">
        <v>320</v>
      </c>
      <c r="H78" s="19" t="s">
        <v>21</v>
      </c>
      <c r="I78" s="9" t="s">
        <v>22</v>
      </c>
      <c r="J78" s="9" t="s">
        <v>156</v>
      </c>
      <c r="K78" s="16"/>
      <c r="L78" s="9">
        <v>10</v>
      </c>
      <c r="M78" s="16">
        <v>6</v>
      </c>
      <c r="N78" s="17">
        <v>420</v>
      </c>
      <c r="O78" s="16" t="s">
        <v>260</v>
      </c>
      <c r="P78" s="8" t="str">
        <f>_xlfn.CONCAT(I78,CHAR(10),
       IF(AND(K78&lt;&gt;"", L78&lt;&gt;""),
          "Situación: " &amp; K78 &amp; CHAR(10) &amp; "Calificación: " &amp; L78 &amp; "%" &amp; CHAR(10),
          IF(K78&lt;&gt;"",
             "Situación: " &amp; K78 &amp; CHAR(10),
             IF(L78&lt;&gt;"",
                "Calificación: " &amp; L78 &amp; "%" &amp; CHAR(10),
                CHAR(10)))),
       "Meses: ", M78, CHAR(10),
       "Score: ", N78, CHAR(10),
       "Banco: ", O78
)</f>
        <v>Para diciembre de este año
Calificación: 10%
Meses: 6
Score: 420
Banco: D</v>
      </c>
      <c r="Q78" s="13"/>
      <c r="S78" t="s">
        <v>24</v>
      </c>
    </row>
    <row r="79" spans="1:19" x14ac:dyDescent="0.25">
      <c r="A79" s="7" t="s">
        <v>321</v>
      </c>
      <c r="B79" s="9" t="s">
        <v>322</v>
      </c>
      <c r="C79" s="9"/>
      <c r="D79" s="18">
        <v>48067724</v>
      </c>
      <c r="E79" s="9"/>
      <c r="F79" s="9"/>
      <c r="G79" s="14" t="s">
        <v>323</v>
      </c>
      <c r="H79" s="19" t="s">
        <v>21</v>
      </c>
      <c r="I79" s="9" t="s">
        <v>34</v>
      </c>
      <c r="J79" s="9" t="s">
        <v>126</v>
      </c>
      <c r="K79" s="16" t="s">
        <v>133</v>
      </c>
      <c r="L79" s="9" t="s">
        <v>23</v>
      </c>
      <c r="M79" s="16"/>
      <c r="N79" s="17">
        <v>250</v>
      </c>
      <c r="O79" s="16" t="s">
        <v>128</v>
      </c>
      <c r="P79" s="8" t="str">
        <f>_xlfn.CONCAT(I79,CHAR(10),
       IF(AND(K79&lt;&gt;"", L79&lt;&gt;""),
          "Situación: " &amp; K79 &amp; CHAR(10) &amp; "Calificación: " &amp; L79 &amp; "%" &amp; CHAR(10),
          IF(K79&lt;&gt;"",
             "Situación: " &amp; K79 &amp; CHAR(10),
             IF(L79&lt;&gt;"",
                "Calificación: " &amp; L79 &amp; "%" &amp; CHAR(10),
                CHAR(10)))),
       "Meses: ", M79, CHAR(10),
       "Score: ", N79, CHAR(10),
       "Banco: ", O79
)</f>
        <v>El próximo año
Situación: NO CALIFICA POR SCORE 
Meses: 
Score: 250
Banco: E</v>
      </c>
      <c r="Q79" s="13"/>
      <c r="S79" t="s">
        <v>24</v>
      </c>
    </row>
    <row r="80" spans="1:19" x14ac:dyDescent="0.25">
      <c r="A80" s="7" t="s">
        <v>324</v>
      </c>
      <c r="B80" s="9" t="s">
        <v>325</v>
      </c>
      <c r="C80" s="9"/>
      <c r="D80" s="18">
        <v>70692951</v>
      </c>
      <c r="E80" s="9"/>
      <c r="F80" s="9"/>
      <c r="G80" s="14" t="s">
        <v>326</v>
      </c>
      <c r="H80" s="19" t="s">
        <v>21</v>
      </c>
      <c r="I80" s="9" t="s">
        <v>34</v>
      </c>
      <c r="J80" s="9" t="s">
        <v>126</v>
      </c>
      <c r="K80" s="16" t="s">
        <v>133</v>
      </c>
      <c r="L80" s="9" t="s">
        <v>23</v>
      </c>
      <c r="M80" s="16"/>
      <c r="N80" s="17">
        <v>293</v>
      </c>
      <c r="O80" s="16" t="s">
        <v>128</v>
      </c>
      <c r="P80" s="8" t="str">
        <f>_xlfn.CONCAT(I80,CHAR(10),
       IF(AND(K80&lt;&gt;"", L80&lt;&gt;""),
          "Situación: " &amp; K80 &amp; CHAR(10) &amp; "Calificación: " &amp; L80 &amp; "%" &amp; CHAR(10),
          IF(K80&lt;&gt;"",
             "Situación: " &amp; K80 &amp; CHAR(10),
             IF(L80&lt;&gt;"",
                "Calificación: " &amp; L80 &amp; "%" &amp; CHAR(10),
                CHAR(10)))),
       "Meses: ", M80, CHAR(10),
       "Score: ", N80, CHAR(10),
       "Banco: ", O80
)</f>
        <v>El próximo año
Situación: NO CALIFICA POR SCORE 
Meses: 
Score: 293
Banco: E</v>
      </c>
      <c r="Q80" s="13"/>
      <c r="S80" t="s">
        <v>24</v>
      </c>
    </row>
    <row r="81" spans="1:19" x14ac:dyDescent="0.25">
      <c r="A81" s="7" t="s">
        <v>327</v>
      </c>
      <c r="B81" s="9" t="s">
        <v>328</v>
      </c>
      <c r="C81" s="9"/>
      <c r="D81" s="18">
        <v>73125885</v>
      </c>
      <c r="E81" s="18"/>
      <c r="F81" s="9"/>
      <c r="G81" s="14" t="s">
        <v>329</v>
      </c>
      <c r="H81" s="19" t="s">
        <v>330</v>
      </c>
      <c r="I81" s="9" t="s">
        <v>22</v>
      </c>
      <c r="J81" s="9" t="s">
        <v>126</v>
      </c>
      <c r="K81" s="16" t="s">
        <v>127</v>
      </c>
      <c r="L81" s="9" t="s">
        <v>23</v>
      </c>
      <c r="M81" s="16"/>
      <c r="N81" s="17">
        <v>304</v>
      </c>
      <c r="O81" s="16" t="s">
        <v>260</v>
      </c>
      <c r="P81" s="8" t="str">
        <f>_xlfn.CONCAT(I81,CHAR(10),
       IF(AND(K81&lt;&gt;"", L81&lt;&gt;""),
          "Situación: " &amp; K81 &amp; CHAR(10) &amp; "Calificación: " &amp; L81 &amp; "%" &amp; CHAR(10),
          IF(K81&lt;&gt;"",
             "Situación: " &amp; K81 &amp; CHAR(10),
             IF(L81&lt;&gt;"",
                "Calificación: " &amp; L81 &amp; "%" &amp; CHAR(10),
                CHAR(10)))),
       "Meses: ", M81, CHAR(10),
       "Score: ", N81, CHAR(10),
       "Banco: ", O81
)</f>
        <v>Para diciembre de este año
Situación: BAJO SCORE / MAL SBS 
Meses: 
Score: 304
Banco: D</v>
      </c>
      <c r="Q81" s="13"/>
      <c r="S81" t="s">
        <v>24</v>
      </c>
    </row>
    <row r="82" spans="1:19" x14ac:dyDescent="0.25">
      <c r="A82" s="7" t="s">
        <v>331</v>
      </c>
      <c r="B82" s="9" t="s">
        <v>332</v>
      </c>
      <c r="C82" s="9"/>
      <c r="D82" s="18">
        <v>70300712</v>
      </c>
      <c r="E82" s="9"/>
      <c r="F82" s="9"/>
      <c r="G82" s="14" t="s">
        <v>333</v>
      </c>
      <c r="H82" s="19" t="s">
        <v>21</v>
      </c>
      <c r="I82" s="9" t="s">
        <v>34</v>
      </c>
      <c r="J82" s="9" t="s">
        <v>126</v>
      </c>
      <c r="K82" s="16" t="s">
        <v>133</v>
      </c>
      <c r="L82" s="9" t="s">
        <v>23</v>
      </c>
      <c r="M82" s="16"/>
      <c r="N82" s="17">
        <v>284</v>
      </c>
      <c r="O82" s="16" t="s">
        <v>128</v>
      </c>
      <c r="P82" s="8" t="str">
        <f>_xlfn.CONCAT(I82,CHAR(10),
       IF(AND(K82&lt;&gt;"", L82&lt;&gt;""),
          "Situación: " &amp; K82 &amp; CHAR(10) &amp; "Calificación: " &amp; L82 &amp; "%" &amp; CHAR(10),
          IF(K82&lt;&gt;"",
             "Situación: " &amp; K82 &amp; CHAR(10),
             IF(L82&lt;&gt;"",
                "Calificación: " &amp; L82 &amp; "%" &amp; CHAR(10),
                CHAR(10)))),
       "Meses: ", M82, CHAR(10),
       "Score: ", N82, CHAR(10),
       "Banco: ", O82
)</f>
        <v>El próximo año
Situación: NO CALIFICA POR SCORE 
Meses: 
Score: 284
Banco: E</v>
      </c>
      <c r="Q82" s="13"/>
      <c r="S82" t="s">
        <v>24</v>
      </c>
    </row>
    <row r="83" spans="1:19" x14ac:dyDescent="0.25">
      <c r="A83" s="7" t="s">
        <v>334</v>
      </c>
      <c r="B83" s="9" t="s">
        <v>335</v>
      </c>
      <c r="C83" s="9"/>
      <c r="D83" s="18">
        <v>44967151</v>
      </c>
      <c r="E83" s="9"/>
      <c r="F83" s="9"/>
      <c r="G83" s="14" t="s">
        <v>336</v>
      </c>
      <c r="H83" s="19" t="s">
        <v>21</v>
      </c>
      <c r="I83" s="9" t="s">
        <v>29</v>
      </c>
      <c r="J83" s="9" t="s">
        <v>126</v>
      </c>
      <c r="K83" s="16" t="s">
        <v>133</v>
      </c>
      <c r="L83" s="9" t="s">
        <v>23</v>
      </c>
      <c r="M83" s="16"/>
      <c r="N83" s="17">
        <v>330</v>
      </c>
      <c r="O83" s="16" t="s">
        <v>128</v>
      </c>
      <c r="P83" s="8" t="str">
        <f>_xlfn.CONCAT(I83,CHAR(10),
       IF(AND(K83&lt;&gt;"", L83&lt;&gt;""),
          "Situación: " &amp; K83 &amp; CHAR(10) &amp; "Calificación: " &amp; L83 &amp; "%" &amp; CHAR(10),
          IF(K83&lt;&gt;"",
             "Situación: " &amp; K83 &amp; CHAR(10),
             IF(L83&lt;&gt;"",
                "Calificación: " &amp; L83 &amp; "%" &amp; CHAR(10),
                CHAR(10)))),
       "Meses: ", M83, CHAR(10),
       "Score: ", N83, CHAR(10),
       "Banco: ", O83
)</f>
        <v>Lo mas pronto
Situación: NO CALIFICA POR SCORE 
Meses: 
Score: 330
Banco: E</v>
      </c>
      <c r="Q83" s="13"/>
      <c r="S83" t="s">
        <v>24</v>
      </c>
    </row>
    <row r="84" spans="1:19" x14ac:dyDescent="0.25">
      <c r="A84" s="7" t="s">
        <v>337</v>
      </c>
      <c r="B84" s="9" t="s">
        <v>338</v>
      </c>
      <c r="C84" s="9"/>
      <c r="D84" s="18">
        <v>72939401</v>
      </c>
      <c r="E84" s="9"/>
      <c r="F84" s="9"/>
      <c r="G84" s="14" t="s">
        <v>339</v>
      </c>
      <c r="H84" s="19" t="s">
        <v>21</v>
      </c>
      <c r="I84" s="9" t="s">
        <v>34</v>
      </c>
      <c r="J84" s="9" t="s">
        <v>126</v>
      </c>
      <c r="K84" s="16" t="s">
        <v>133</v>
      </c>
      <c r="L84" s="9" t="s">
        <v>23</v>
      </c>
      <c r="M84" s="16"/>
      <c r="N84" s="17">
        <v>307</v>
      </c>
      <c r="O84" s="16" t="s">
        <v>138</v>
      </c>
      <c r="P84" s="8" t="str">
        <f>_xlfn.CONCAT(I84,CHAR(10),
       IF(AND(K84&lt;&gt;"", L84&lt;&gt;""),
          "Situación: " &amp; K84 &amp; CHAR(10) &amp; "Calificación: " &amp; L84 &amp; "%" &amp; CHAR(10),
          IF(K84&lt;&gt;"",
             "Situación: " &amp; K84 &amp; CHAR(10),
             IF(L84&lt;&gt;"",
                "Calificación: " &amp; L84 &amp; "%" &amp; CHAR(10),
                CHAR(10)))),
       "Meses: ", M84, CHAR(10),
       "Score: ", N84, CHAR(10),
       "Banco: ", O84
)</f>
        <v>El próximo año
Situación: NO CALIFICA POR SCORE 
Meses: 
Score: 307
Banco: C</v>
      </c>
      <c r="Q84" s="13"/>
      <c r="S84" t="s">
        <v>24</v>
      </c>
    </row>
    <row r="85" spans="1:19" x14ac:dyDescent="0.25">
      <c r="A85" s="7" t="s">
        <v>340</v>
      </c>
      <c r="B85" s="9" t="s">
        <v>341</v>
      </c>
      <c r="C85" s="9"/>
      <c r="D85" s="18">
        <v>76728623</v>
      </c>
      <c r="E85" s="9"/>
      <c r="F85" s="9"/>
      <c r="G85" s="14" t="s">
        <v>342</v>
      </c>
      <c r="H85" s="19" t="s">
        <v>21</v>
      </c>
      <c r="I85" s="9" t="s">
        <v>34</v>
      </c>
      <c r="J85" s="9" t="s">
        <v>156</v>
      </c>
      <c r="K85" s="16"/>
      <c r="L85" s="9">
        <v>20</v>
      </c>
      <c r="M85" s="16">
        <v>9</v>
      </c>
      <c r="N85" s="17">
        <v>350</v>
      </c>
      <c r="O85" s="16" t="s">
        <v>166</v>
      </c>
      <c r="P85" s="8" t="str">
        <f>_xlfn.CONCAT(I85,CHAR(10),
       IF(AND(K85&lt;&gt;"", L85&lt;&gt;""),
          "Situación: " &amp; K85 &amp; CHAR(10) &amp; "Calificación: " &amp; L85 &amp; "%" &amp; CHAR(10),
          IF(K85&lt;&gt;"",
             "Situación: " &amp; K85 &amp; CHAR(10),
             IF(L85&lt;&gt;"",
                "Calificación: " &amp; L85 &amp; "%" &amp; CHAR(10),
                CHAR(10)))),
       "Meses: ", M85, CHAR(10),
       "Score: ", N85, CHAR(10),
       "Banco: ", O85
)</f>
        <v>El próximo año
Calificación: 20%
Meses: 9
Score: 350
Banco: B</v>
      </c>
      <c r="Q85" s="13"/>
      <c r="S85" t="s">
        <v>24</v>
      </c>
    </row>
    <row r="86" spans="1:19" x14ac:dyDescent="0.25">
      <c r="A86" s="7" t="s">
        <v>343</v>
      </c>
      <c r="B86" s="9" t="s">
        <v>344</v>
      </c>
      <c r="C86" s="9"/>
      <c r="D86" s="18">
        <v>46613790</v>
      </c>
      <c r="E86" s="9"/>
      <c r="F86" s="9"/>
      <c r="G86" s="14" t="s">
        <v>345</v>
      </c>
      <c r="H86" s="19" t="s">
        <v>346</v>
      </c>
      <c r="I86" s="9" t="s">
        <v>22</v>
      </c>
      <c r="J86" s="9" t="s">
        <v>126</v>
      </c>
      <c r="K86" s="16" t="s">
        <v>133</v>
      </c>
      <c r="L86" s="9" t="s">
        <v>23</v>
      </c>
      <c r="M86" s="16"/>
      <c r="N86" s="17">
        <v>331</v>
      </c>
      <c r="O86" s="16" t="s">
        <v>260</v>
      </c>
      <c r="P86" s="8" t="str">
        <f>_xlfn.CONCAT(I86,CHAR(10),
       IF(AND(K86&lt;&gt;"", L86&lt;&gt;""),
          "Situación: " &amp; K86 &amp; CHAR(10) &amp; "Calificación: " &amp; L86 &amp; "%" &amp; CHAR(10),
          IF(K86&lt;&gt;"",
             "Situación: " &amp; K86 &amp; CHAR(10),
             IF(L86&lt;&gt;"",
                "Calificación: " &amp; L86 &amp; "%" &amp; CHAR(10),
                CHAR(10)))),
       "Meses: ", M86, CHAR(10),
       "Score: ", N86, CHAR(10),
       "Banco: ", O86
)</f>
        <v>Para diciembre de este año
Situación: NO CALIFICA POR SCORE 
Meses: 
Score: 331
Banco: D</v>
      </c>
      <c r="Q86" s="13"/>
      <c r="S86" t="s">
        <v>24</v>
      </c>
    </row>
    <row r="87" spans="1:19" x14ac:dyDescent="0.25">
      <c r="A87" s="7" t="s">
        <v>347</v>
      </c>
      <c r="B87" s="9" t="s">
        <v>348</v>
      </c>
      <c r="C87" s="9"/>
      <c r="D87" s="18">
        <v>42743763</v>
      </c>
      <c r="E87" s="9"/>
      <c r="F87" s="9"/>
      <c r="G87" s="14" t="s">
        <v>349</v>
      </c>
      <c r="H87" s="19" t="s">
        <v>21</v>
      </c>
      <c r="I87" s="9" t="s">
        <v>39</v>
      </c>
      <c r="J87" s="9" t="s">
        <v>156</v>
      </c>
      <c r="K87" s="16"/>
      <c r="L87" s="9">
        <v>10</v>
      </c>
      <c r="M87" s="16">
        <v>6</v>
      </c>
      <c r="N87" s="17">
        <v>426</v>
      </c>
      <c r="O87" s="16" t="s">
        <v>166</v>
      </c>
      <c r="P87" s="8" t="str">
        <f>_xlfn.CONCAT(I87,CHAR(10),
       IF(AND(K87&lt;&gt;"", L87&lt;&gt;""),
          "Situación: " &amp; K87 &amp; CHAR(10) &amp; "Calificación: " &amp; L87 &amp; "%" &amp; CHAR(10),
          IF(K87&lt;&gt;"",
             "Situación: " &amp; K87 &amp; CHAR(10),
             IF(L87&lt;&gt;"",
                "Calificación: " &amp; L87 &amp; "%" &amp; CHAR(10),
                CHAR(10)))),
       "Meses: ", M87, CHAR(10),
       "Score: ", N87, CHAR(10),
       "Banco: ", O87
)</f>
        <v>Directo a Whatsapp
Calificación: 10%
Meses: 6
Score: 426
Banco: B</v>
      </c>
      <c r="Q87" s="13"/>
      <c r="S87" t="s">
        <v>24</v>
      </c>
    </row>
    <row r="88" spans="1:19" x14ac:dyDescent="0.25">
      <c r="A88" s="7" t="s">
        <v>350</v>
      </c>
      <c r="B88" s="9" t="s">
        <v>351</v>
      </c>
      <c r="C88" s="9"/>
      <c r="D88" s="18">
        <v>72862231</v>
      </c>
      <c r="E88" s="9"/>
      <c r="F88" s="9"/>
      <c r="G88" s="14" t="s">
        <v>352</v>
      </c>
      <c r="H88" s="19" t="s">
        <v>21</v>
      </c>
      <c r="I88" s="9" t="s">
        <v>22</v>
      </c>
      <c r="J88" s="9" t="s">
        <v>164</v>
      </c>
      <c r="K88" s="16" t="s">
        <v>353</v>
      </c>
      <c r="L88" s="9" t="s">
        <v>23</v>
      </c>
      <c r="M88" s="16"/>
      <c r="N88" s="17">
        <v>415</v>
      </c>
      <c r="O88" s="16" t="s">
        <v>229</v>
      </c>
      <c r="P88" s="8" t="str">
        <f>_xlfn.CONCAT(I88,CHAR(10),
       IF(AND(K88&lt;&gt;"", L88&lt;&gt;""),
          "Situación: " &amp; K88 &amp; CHAR(10) &amp; "Calificación: " &amp; L88 &amp; "%" &amp; CHAR(10),
          IF(K88&lt;&gt;"",
             "Situación: " &amp; K88 &amp; CHAR(10),
             IF(L88&lt;&gt;"",
                "Calificación: " &amp; L88 &amp; "%" &amp; CHAR(10),
                CHAR(10)))),
       "Meses: ", M88, CHAR(10),
       "Score: ", N88, CHAR(10),
       "Banco: ", O88
)</f>
        <v>Para diciembre de este año
Situación: DEBE BAJAR ENDEUDAMIENTO
Meses: 
Score: 415
Banco: A</v>
      </c>
      <c r="Q88" s="13"/>
      <c r="S88" t="s">
        <v>24</v>
      </c>
    </row>
    <row r="89" spans="1:19" x14ac:dyDescent="0.25">
      <c r="A89" s="7" t="s">
        <v>354</v>
      </c>
      <c r="B89" s="9" t="s">
        <v>355</v>
      </c>
      <c r="C89" s="9"/>
      <c r="D89" s="18">
        <v>45400056</v>
      </c>
      <c r="E89" s="9"/>
      <c r="F89" s="9"/>
      <c r="G89" s="14" t="s">
        <v>356</v>
      </c>
      <c r="H89" s="19" t="s">
        <v>21</v>
      </c>
      <c r="I89" s="9" t="s">
        <v>34</v>
      </c>
      <c r="J89" s="9" t="s">
        <v>156</v>
      </c>
      <c r="K89" s="16"/>
      <c r="L89" s="9">
        <v>20</v>
      </c>
      <c r="M89" s="16">
        <v>9</v>
      </c>
      <c r="N89" s="17">
        <v>364</v>
      </c>
      <c r="O89" s="16" t="s">
        <v>260</v>
      </c>
      <c r="P89" s="8" t="str">
        <f>_xlfn.CONCAT(I89,CHAR(10),
       IF(AND(K89&lt;&gt;"", L89&lt;&gt;""),
          "Situación: " &amp; K89 &amp; CHAR(10) &amp; "Calificación: " &amp; L89 &amp; "%" &amp; CHAR(10),
          IF(K89&lt;&gt;"",
             "Situación: " &amp; K89 &amp; CHAR(10),
             IF(L89&lt;&gt;"",
                "Calificación: " &amp; L89 &amp; "%" &amp; CHAR(10),
                CHAR(10)))),
       "Meses: ", M89, CHAR(10),
       "Score: ", N89, CHAR(10),
       "Banco: ", O89
)</f>
        <v>El próximo año
Calificación: 20%
Meses: 9
Score: 364
Banco: D</v>
      </c>
      <c r="Q89" s="13"/>
      <c r="S89" t="s">
        <v>357</v>
      </c>
    </row>
    <row r="90" spans="1:19" x14ac:dyDescent="0.25">
      <c r="A90" s="7" t="s">
        <v>358</v>
      </c>
      <c r="B90" s="9" t="s">
        <v>359</v>
      </c>
      <c r="C90" s="9"/>
      <c r="D90" s="18">
        <v>3504565</v>
      </c>
      <c r="E90" s="18"/>
      <c r="F90" s="9"/>
      <c r="G90" s="14" t="s">
        <v>360</v>
      </c>
      <c r="H90" s="19" t="s">
        <v>21</v>
      </c>
      <c r="I90" s="9" t="s">
        <v>29</v>
      </c>
      <c r="J90" s="9" t="s">
        <v>126</v>
      </c>
      <c r="K90" s="16" t="s">
        <v>133</v>
      </c>
      <c r="L90" s="9" t="s">
        <v>23</v>
      </c>
      <c r="M90" s="16"/>
      <c r="N90" s="17">
        <v>303</v>
      </c>
      <c r="O90" s="16" t="s">
        <v>128</v>
      </c>
      <c r="P90" s="8" t="str">
        <f>_xlfn.CONCAT(I90,CHAR(10),
       IF(AND(K90&lt;&gt;"", L90&lt;&gt;""),
          "Situación: " &amp; K90 &amp; CHAR(10) &amp; "Calificación: " &amp; L90 &amp; "%" &amp; CHAR(10),
          IF(K90&lt;&gt;"",
             "Situación: " &amp; K90 &amp; CHAR(10),
             IF(L90&lt;&gt;"",
                "Calificación: " &amp; L90 &amp; "%" &amp; CHAR(10),
                CHAR(10)))),
       "Meses: ", M90, CHAR(10),
       "Score: ", N90, CHAR(10),
       "Banco: ", O90
)</f>
        <v>Lo mas pronto
Situación: NO CALIFICA POR SCORE 
Meses: 
Score: 303
Banco: E</v>
      </c>
      <c r="Q90" s="13"/>
      <c r="S90" t="s">
        <v>357</v>
      </c>
    </row>
    <row r="91" spans="1:19" x14ac:dyDescent="0.25">
      <c r="A91" s="7" t="s">
        <v>361</v>
      </c>
      <c r="B91" s="9" t="s">
        <v>362</v>
      </c>
      <c r="C91" s="9"/>
      <c r="D91" s="18">
        <v>19235897</v>
      </c>
      <c r="E91" s="9"/>
      <c r="F91" s="9"/>
      <c r="G91" s="14" t="s">
        <v>363</v>
      </c>
      <c r="H91" s="19" t="s">
        <v>21</v>
      </c>
      <c r="I91" s="9" t="s">
        <v>39</v>
      </c>
      <c r="J91" s="9" t="s">
        <v>156</v>
      </c>
      <c r="K91" s="16"/>
      <c r="L91" s="9">
        <v>10</v>
      </c>
      <c r="M91" s="16">
        <v>6</v>
      </c>
      <c r="N91" s="17">
        <v>470</v>
      </c>
      <c r="O91" s="16" t="s">
        <v>166</v>
      </c>
      <c r="P91" s="8" t="str">
        <f>_xlfn.CONCAT(I91,CHAR(10),
       IF(AND(K91&lt;&gt;"", L91&lt;&gt;""),
          "Situación: " &amp; K91 &amp; CHAR(10) &amp; "Calificación: " &amp; L91 &amp; "%" &amp; CHAR(10),
          IF(K91&lt;&gt;"",
             "Situación: " &amp; K91 &amp; CHAR(10),
             IF(L91&lt;&gt;"",
                "Calificación: " &amp; L91 &amp; "%" &amp; CHAR(10),
                CHAR(10)))),
       "Meses: ", M91, CHAR(10),
       "Score: ", N91, CHAR(10),
       "Banco: ", O91
)</f>
        <v>Directo a Whatsapp
Calificación: 10%
Meses: 6
Score: 470
Banco: B</v>
      </c>
      <c r="Q91" s="13"/>
      <c r="S91" t="s">
        <v>357</v>
      </c>
    </row>
    <row r="92" spans="1:19" x14ac:dyDescent="0.25">
      <c r="A92" s="7" t="s">
        <v>364</v>
      </c>
      <c r="B92" s="9" t="s">
        <v>365</v>
      </c>
      <c r="C92" s="9"/>
      <c r="D92" s="18">
        <v>73078877</v>
      </c>
      <c r="E92" s="18"/>
      <c r="F92" s="9"/>
      <c r="G92" s="14" t="s">
        <v>366</v>
      </c>
      <c r="H92" s="19" t="s">
        <v>21</v>
      </c>
      <c r="I92" s="9" t="s">
        <v>34</v>
      </c>
      <c r="J92" s="9" t="s">
        <v>156</v>
      </c>
      <c r="K92" s="16"/>
      <c r="L92" s="9">
        <v>10</v>
      </c>
      <c r="M92" s="16">
        <v>6</v>
      </c>
      <c r="N92" s="17">
        <v>398</v>
      </c>
      <c r="O92" s="16" t="s">
        <v>138</v>
      </c>
      <c r="P92" s="8" t="str">
        <f>_xlfn.CONCAT(I92,CHAR(10),
       IF(AND(K92&lt;&gt;"", L92&lt;&gt;""),
          "Situación: " &amp; K92 &amp; CHAR(10) &amp; "Calificación: " &amp; L92 &amp; "%" &amp; CHAR(10),
          IF(K92&lt;&gt;"",
             "Situación: " &amp; K92 &amp; CHAR(10),
             IF(L92&lt;&gt;"",
                "Calificación: " &amp; L92 &amp; "%" &amp; CHAR(10),
                CHAR(10)))),
       "Meses: ", M92, CHAR(10),
       "Score: ", N92, CHAR(10),
       "Banco: ", O92
)</f>
        <v>El próximo año
Calificación: 10%
Meses: 6
Score: 398
Banco: C</v>
      </c>
      <c r="Q92" s="13"/>
      <c r="S92" t="s">
        <v>357</v>
      </c>
    </row>
    <row r="93" spans="1:19" x14ac:dyDescent="0.25">
      <c r="A93" s="7" t="s">
        <v>367</v>
      </c>
      <c r="B93" s="9" t="s">
        <v>368</v>
      </c>
      <c r="C93" s="9"/>
      <c r="D93" s="18">
        <v>73355206</v>
      </c>
      <c r="E93" s="9"/>
      <c r="F93" s="9"/>
      <c r="G93" s="14" t="s">
        <v>369</v>
      </c>
      <c r="H93" s="19" t="s">
        <v>21</v>
      </c>
      <c r="I93" s="9" t="s">
        <v>22</v>
      </c>
      <c r="J93" s="9" t="s">
        <v>156</v>
      </c>
      <c r="K93" s="16"/>
      <c r="L93" s="9">
        <v>20</v>
      </c>
      <c r="M93" s="16">
        <v>6</v>
      </c>
      <c r="N93" s="17">
        <v>390</v>
      </c>
      <c r="O93" s="16" t="s">
        <v>128</v>
      </c>
      <c r="P93" s="8" t="str">
        <f>_xlfn.CONCAT(I93,CHAR(10),
       IF(AND(K93&lt;&gt;"", L93&lt;&gt;""),
          "Situación: " &amp; K93 &amp; CHAR(10) &amp; "Calificación: " &amp; L93 &amp; "%" &amp; CHAR(10),
          IF(K93&lt;&gt;"",
             "Situación: " &amp; K93 &amp; CHAR(10),
             IF(L93&lt;&gt;"",
                "Calificación: " &amp; L93 &amp; "%" &amp; CHAR(10),
                CHAR(10)))),
       "Meses: ", M93, CHAR(10),
       "Score: ", N93, CHAR(10),
       "Banco: ", O93
)</f>
        <v>Para diciembre de este año
Calificación: 20%
Meses: 6
Score: 390
Banco: E</v>
      </c>
      <c r="Q93" s="13"/>
      <c r="S93" t="s">
        <v>357</v>
      </c>
    </row>
    <row r="94" spans="1:19" x14ac:dyDescent="0.25">
      <c r="A94" s="7" t="s">
        <v>370</v>
      </c>
      <c r="B94" s="9" t="s">
        <v>371</v>
      </c>
      <c r="C94" s="9"/>
      <c r="D94" s="18">
        <v>73135853</v>
      </c>
      <c r="E94" s="18"/>
      <c r="F94" s="9"/>
      <c r="G94" s="14" t="s">
        <v>372</v>
      </c>
      <c r="H94" s="19" t="s">
        <v>373</v>
      </c>
      <c r="I94" s="9" t="s">
        <v>22</v>
      </c>
      <c r="J94" s="9" t="s">
        <v>126</v>
      </c>
      <c r="K94" s="16" t="s">
        <v>133</v>
      </c>
      <c r="L94" s="9" t="s">
        <v>23</v>
      </c>
      <c r="M94" s="16"/>
      <c r="N94" s="17">
        <v>303</v>
      </c>
      <c r="O94" s="16" t="s">
        <v>138</v>
      </c>
      <c r="P94" s="8" t="str">
        <f>_xlfn.CONCAT(I94,CHAR(10),
       IF(AND(K94&lt;&gt;"", L94&lt;&gt;""),
          "Situación: " &amp; K94 &amp; CHAR(10) &amp; "Calificación: " &amp; L94 &amp; "%" &amp; CHAR(10),
          IF(K94&lt;&gt;"",
             "Situación: " &amp; K94 &amp; CHAR(10),
             IF(L94&lt;&gt;"",
                "Calificación: " &amp; L94 &amp; "%" &amp; CHAR(10),
                CHAR(10)))),
       "Meses: ", M94, CHAR(10),
       "Score: ", N94, CHAR(10),
       "Banco: ", O94
)</f>
        <v>Para diciembre de este año
Situación: NO CALIFICA POR SCORE 
Meses: 
Score: 303
Banco: C</v>
      </c>
      <c r="Q94" s="13"/>
      <c r="S94" t="s">
        <v>357</v>
      </c>
    </row>
    <row r="95" spans="1:19" x14ac:dyDescent="0.25">
      <c r="A95" s="7" t="s">
        <v>374</v>
      </c>
      <c r="B95" s="9" t="s">
        <v>375</v>
      </c>
      <c r="C95" s="9"/>
      <c r="D95" s="18">
        <v>45299659</v>
      </c>
      <c r="E95" s="9"/>
      <c r="F95" s="9"/>
      <c r="G95" s="14" t="s">
        <v>376</v>
      </c>
      <c r="H95" s="19" t="s">
        <v>21</v>
      </c>
      <c r="I95" s="9" t="s">
        <v>34</v>
      </c>
      <c r="J95" s="9" t="s">
        <v>156</v>
      </c>
      <c r="K95" s="16"/>
      <c r="L95" s="9">
        <v>20</v>
      </c>
      <c r="M95" s="16">
        <v>9</v>
      </c>
      <c r="N95" s="17">
        <v>357</v>
      </c>
      <c r="O95" s="16" t="s">
        <v>138</v>
      </c>
      <c r="P95" s="8" t="str">
        <f>_xlfn.CONCAT(I95,CHAR(10),
       IF(AND(K95&lt;&gt;"", L95&lt;&gt;""),
          "Situación: " &amp; K95 &amp; CHAR(10) &amp; "Calificación: " &amp; L95 &amp; "%" &amp; CHAR(10),
          IF(K95&lt;&gt;"",
             "Situación: " &amp; K95 &amp; CHAR(10),
             IF(L95&lt;&gt;"",
                "Calificación: " &amp; L95 &amp; "%" &amp; CHAR(10),
                CHAR(10)))),
       "Meses: ", M95, CHAR(10),
       "Score: ", N95, CHAR(10),
       "Banco: ", O95
)</f>
        <v>El próximo año
Calificación: 20%
Meses: 9
Score: 357
Banco: C</v>
      </c>
      <c r="Q95" s="13"/>
      <c r="S95" t="s">
        <v>357</v>
      </c>
    </row>
    <row r="96" spans="1:19" x14ac:dyDescent="0.25">
      <c r="A96" s="7" t="s">
        <v>377</v>
      </c>
      <c r="B96" s="9" t="s">
        <v>378</v>
      </c>
      <c r="C96" s="9"/>
      <c r="D96" s="18">
        <v>45740832</v>
      </c>
      <c r="E96" s="9"/>
      <c r="F96" s="9"/>
      <c r="G96" s="14" t="s">
        <v>379</v>
      </c>
      <c r="H96" s="19" t="s">
        <v>21</v>
      </c>
      <c r="I96" s="9" t="s">
        <v>22</v>
      </c>
      <c r="J96" s="9" t="s">
        <v>126</v>
      </c>
      <c r="K96" s="16" t="s">
        <v>133</v>
      </c>
      <c r="L96" s="9" t="s">
        <v>23</v>
      </c>
      <c r="M96" s="16"/>
      <c r="N96" s="17">
        <v>267</v>
      </c>
      <c r="O96" s="16" t="s">
        <v>128</v>
      </c>
      <c r="P96" s="8" t="str">
        <f>_xlfn.CONCAT(I96,CHAR(10),
       IF(AND(K96&lt;&gt;"", L96&lt;&gt;""),
          "Situación: " &amp; K96 &amp; CHAR(10) &amp; "Calificación: " &amp; L96 &amp; "%" &amp; CHAR(10),
          IF(K96&lt;&gt;"",
             "Situación: " &amp; K96 &amp; CHAR(10),
             IF(L96&lt;&gt;"",
                "Calificación: " &amp; L96 &amp; "%" &amp; CHAR(10),
                CHAR(10)))),
       "Meses: ", M96, CHAR(10),
       "Score: ", N96, CHAR(10),
       "Banco: ", O96
)</f>
        <v>Para diciembre de este año
Situación: NO CALIFICA POR SCORE 
Meses: 
Score: 267
Banco: E</v>
      </c>
      <c r="Q96" s="13"/>
      <c r="S96" t="s">
        <v>357</v>
      </c>
    </row>
    <row r="97" spans="1:19" x14ac:dyDescent="0.25">
      <c r="A97" s="7" t="s">
        <v>380</v>
      </c>
      <c r="B97" s="9" t="s">
        <v>381</v>
      </c>
      <c r="C97" s="9"/>
      <c r="D97" s="18">
        <v>76433326</v>
      </c>
      <c r="E97" s="18"/>
      <c r="F97" s="9"/>
      <c r="G97" s="14" t="s">
        <v>382</v>
      </c>
      <c r="H97" s="19" t="s">
        <v>21</v>
      </c>
      <c r="I97" s="9" t="s">
        <v>29</v>
      </c>
      <c r="J97" s="9" t="s">
        <v>156</v>
      </c>
      <c r="K97" s="16"/>
      <c r="L97" s="9">
        <v>10</v>
      </c>
      <c r="M97" s="16">
        <v>6</v>
      </c>
      <c r="N97" s="17">
        <v>408</v>
      </c>
      <c r="O97" s="16" t="s">
        <v>260</v>
      </c>
      <c r="P97" s="8" t="str">
        <f>_xlfn.CONCAT(I97,CHAR(10),
       IF(AND(K97&lt;&gt;"", L97&lt;&gt;""),
          "Situación: " &amp; K97 &amp; CHAR(10) &amp; "Calificación: " &amp; L97 &amp; "%" &amp; CHAR(10),
          IF(K97&lt;&gt;"",
             "Situación: " &amp; K97 &amp; CHAR(10),
             IF(L97&lt;&gt;"",
                "Calificación: " &amp; L97 &amp; "%" &amp; CHAR(10),
                CHAR(10)))),
       "Meses: ", M97, CHAR(10),
       "Score: ", N97, CHAR(10),
       "Banco: ", O97
)</f>
        <v>Lo mas pronto
Calificación: 10%
Meses: 6
Score: 408
Banco: D</v>
      </c>
      <c r="Q97" s="13"/>
      <c r="S97" t="s">
        <v>357</v>
      </c>
    </row>
    <row r="98" spans="1:19" x14ac:dyDescent="0.25">
      <c r="A98" s="7" t="s">
        <v>383</v>
      </c>
      <c r="B98" s="9" t="s">
        <v>384</v>
      </c>
      <c r="C98" s="9"/>
      <c r="D98" s="18">
        <v>44089382</v>
      </c>
      <c r="E98" s="18"/>
      <c r="F98" s="9"/>
      <c r="G98" s="14" t="s">
        <v>385</v>
      </c>
      <c r="H98" s="19" t="s">
        <v>21</v>
      </c>
      <c r="I98" s="9" t="s">
        <v>34</v>
      </c>
      <c r="J98" s="9" t="s">
        <v>156</v>
      </c>
      <c r="K98" s="16"/>
      <c r="L98" s="9">
        <v>10</v>
      </c>
      <c r="M98" s="16">
        <v>6</v>
      </c>
      <c r="N98" s="17">
        <v>416</v>
      </c>
      <c r="O98" s="16" t="s">
        <v>229</v>
      </c>
      <c r="P98" s="8" t="str">
        <f>_xlfn.CONCAT(I98,CHAR(10),
       IF(AND(K98&lt;&gt;"", L98&lt;&gt;""),
          "Situación: " &amp; K98 &amp; CHAR(10) &amp; "Calificación: " &amp; L98 &amp; "%" &amp; CHAR(10),
          IF(K98&lt;&gt;"",
             "Situación: " &amp; K98 &amp; CHAR(10),
             IF(L98&lt;&gt;"",
                "Calificación: " &amp; L98 &amp; "%" &amp; CHAR(10),
                CHAR(10)))),
       "Meses: ", M98, CHAR(10),
       "Score: ", N98, CHAR(10),
       "Banco: ", O98
)</f>
        <v>El próximo año
Calificación: 10%
Meses: 6
Score: 416
Banco: A</v>
      </c>
      <c r="Q98" s="13"/>
      <c r="S98" t="s">
        <v>357</v>
      </c>
    </row>
    <row r="99" spans="1:19" x14ac:dyDescent="0.25">
      <c r="A99" s="7" t="s">
        <v>386</v>
      </c>
      <c r="B99" s="9" t="s">
        <v>387</v>
      </c>
      <c r="C99" s="9"/>
      <c r="D99" s="18">
        <v>75053221</v>
      </c>
      <c r="E99" s="9"/>
      <c r="F99" s="9"/>
      <c r="G99" s="14" t="s">
        <v>388</v>
      </c>
      <c r="H99" s="19" t="s">
        <v>21</v>
      </c>
      <c r="I99" s="9" t="s">
        <v>34</v>
      </c>
      <c r="J99" s="9" t="s">
        <v>126</v>
      </c>
      <c r="K99" s="16" t="s">
        <v>133</v>
      </c>
      <c r="L99" s="9" t="s">
        <v>23</v>
      </c>
      <c r="M99" s="16"/>
      <c r="N99" s="17">
        <v>302</v>
      </c>
      <c r="O99" s="16" t="s">
        <v>128</v>
      </c>
      <c r="P99" s="8" t="str">
        <f>_xlfn.CONCAT(I99,CHAR(10),
       IF(AND(K99&lt;&gt;"", L99&lt;&gt;""),
          "Situación: " &amp; K99 &amp; CHAR(10) &amp; "Calificación: " &amp; L99 &amp; "%" &amp; CHAR(10),
          IF(K99&lt;&gt;"",
             "Situación: " &amp; K99 &amp; CHAR(10),
             IF(L99&lt;&gt;"",
                "Calificación: " &amp; L99 &amp; "%" &amp; CHAR(10),
                CHAR(10)))),
       "Meses: ", M99, CHAR(10),
       "Score: ", N99, CHAR(10),
       "Banco: ", O99
)</f>
        <v>El próximo año
Situación: NO CALIFICA POR SCORE 
Meses: 
Score: 302
Banco: E</v>
      </c>
      <c r="Q99" s="13"/>
      <c r="S99" t="s">
        <v>357</v>
      </c>
    </row>
    <row r="100" spans="1:19" x14ac:dyDescent="0.25">
      <c r="A100" s="7" t="s">
        <v>389</v>
      </c>
      <c r="B100" s="9" t="s">
        <v>390</v>
      </c>
      <c r="C100" s="9"/>
      <c r="D100" s="18">
        <v>47488861</v>
      </c>
      <c r="E100" s="9"/>
      <c r="F100" s="9"/>
      <c r="G100" s="14" t="s">
        <v>391</v>
      </c>
      <c r="H100" s="19" t="s">
        <v>21</v>
      </c>
      <c r="I100" s="9" t="s">
        <v>22</v>
      </c>
      <c r="J100" s="9" t="s">
        <v>126</v>
      </c>
      <c r="K100" s="16" t="s">
        <v>127</v>
      </c>
      <c r="L100" s="9" t="s">
        <v>23</v>
      </c>
      <c r="M100" s="16"/>
      <c r="N100" s="17">
        <v>307</v>
      </c>
      <c r="O100" s="16" t="s">
        <v>128</v>
      </c>
      <c r="P100" s="8" t="str">
        <f>_xlfn.CONCAT(I100,CHAR(10),
       IF(AND(K100&lt;&gt;"", L100&lt;&gt;""),
          "Situación: " &amp; K100 &amp; CHAR(10) &amp; "Calificación: " &amp; L100 &amp; "%" &amp; CHAR(10),
          IF(K100&lt;&gt;"",
             "Situación: " &amp; K100 &amp; CHAR(10),
             IF(L100&lt;&gt;"",
                "Calificación: " &amp; L100 &amp; "%" &amp; CHAR(10),
                CHAR(10)))),
       "Meses: ", M100, CHAR(10),
       "Score: ", N100, CHAR(10),
       "Banco: ", O100
)</f>
        <v>Para diciembre de este año
Situación: BAJO SCORE / MAL SBS 
Meses: 
Score: 307
Banco: E</v>
      </c>
      <c r="Q100" s="13"/>
      <c r="S100" t="s">
        <v>357</v>
      </c>
    </row>
    <row r="101" spans="1:19" x14ac:dyDescent="0.25">
      <c r="A101" s="7" t="s">
        <v>392</v>
      </c>
      <c r="B101" s="9" t="s">
        <v>393</v>
      </c>
      <c r="C101" s="9"/>
      <c r="D101" s="18">
        <v>47558461</v>
      </c>
      <c r="E101" s="9"/>
      <c r="F101" s="9"/>
      <c r="G101" s="14" t="s">
        <v>394</v>
      </c>
      <c r="H101" s="19" t="s">
        <v>21</v>
      </c>
      <c r="I101" s="9" t="s">
        <v>39</v>
      </c>
      <c r="J101" s="9" t="s">
        <v>126</v>
      </c>
      <c r="K101" s="16" t="s">
        <v>133</v>
      </c>
      <c r="L101" s="9" t="s">
        <v>23</v>
      </c>
      <c r="M101" s="16"/>
      <c r="N101" s="17">
        <v>300</v>
      </c>
      <c r="O101" s="16" t="s">
        <v>166</v>
      </c>
      <c r="P101" s="8" t="str">
        <f>_xlfn.CONCAT(I101,CHAR(10),
       IF(AND(K101&lt;&gt;"", L101&lt;&gt;""),
          "Situación: " &amp; K101 &amp; CHAR(10) &amp; "Calificación: " &amp; L101 &amp; "%" &amp; CHAR(10),
          IF(K101&lt;&gt;"",
             "Situación: " &amp; K101 &amp; CHAR(10),
             IF(L101&lt;&gt;"",
                "Calificación: " &amp; L101 &amp; "%" &amp; CHAR(10),
                CHAR(10)))),
       "Meses: ", M101, CHAR(10),
       "Score: ", N101, CHAR(10),
       "Banco: ", O101
)</f>
        <v>Directo a Whatsapp
Situación: NO CALIFICA POR SCORE 
Meses: 
Score: 300
Banco: B</v>
      </c>
      <c r="Q101" s="13"/>
      <c r="S101" t="s">
        <v>357</v>
      </c>
    </row>
    <row r="102" spans="1:19" x14ac:dyDescent="0.25">
      <c r="A102" s="7" t="s">
        <v>395</v>
      </c>
      <c r="B102" s="9" t="s">
        <v>396</v>
      </c>
      <c r="C102" s="9"/>
      <c r="D102" s="18">
        <v>76151855</v>
      </c>
      <c r="E102" s="18"/>
      <c r="F102" s="9"/>
      <c r="G102" s="14" t="s">
        <v>397</v>
      </c>
      <c r="H102" s="19" t="s">
        <v>21</v>
      </c>
      <c r="I102" s="9" t="s">
        <v>34</v>
      </c>
      <c r="J102" s="9" t="s">
        <v>156</v>
      </c>
      <c r="K102" s="16"/>
      <c r="L102" s="9">
        <v>20</v>
      </c>
      <c r="M102" s="16">
        <v>6</v>
      </c>
      <c r="N102" s="17">
        <v>368</v>
      </c>
      <c r="O102" s="16" t="s">
        <v>229</v>
      </c>
      <c r="P102" s="8" t="str">
        <f>_xlfn.CONCAT(I102,CHAR(10),
       IF(AND(K102&lt;&gt;"", L102&lt;&gt;""),
          "Situación: " &amp; K102 &amp; CHAR(10) &amp; "Calificación: " &amp; L102 &amp; "%" &amp; CHAR(10),
          IF(K102&lt;&gt;"",
             "Situación: " &amp; K102 &amp; CHAR(10),
             IF(L102&lt;&gt;"",
                "Calificación: " &amp; L102 &amp; "%" &amp; CHAR(10),
                CHAR(10)))),
       "Meses: ", M102, CHAR(10),
       "Score: ", N102, CHAR(10),
       "Banco: ", O102
)</f>
        <v>El próximo año
Calificación: 20%
Meses: 6
Score: 368
Banco: A</v>
      </c>
      <c r="Q102" s="13"/>
      <c r="S102" t="s">
        <v>357</v>
      </c>
    </row>
    <row r="103" spans="1:19" x14ac:dyDescent="0.25">
      <c r="A103" s="7" t="s">
        <v>398</v>
      </c>
      <c r="B103" s="9" t="s">
        <v>399</v>
      </c>
      <c r="C103" s="9"/>
      <c r="D103" s="18">
        <v>0</v>
      </c>
      <c r="E103" s="18"/>
      <c r="F103" s="9"/>
      <c r="G103" s="14" t="s">
        <v>400</v>
      </c>
      <c r="H103" s="19" t="s">
        <v>21</v>
      </c>
      <c r="I103" s="9" t="s">
        <v>34</v>
      </c>
      <c r="J103" s="9"/>
      <c r="K103" s="16" t="s">
        <v>401</v>
      </c>
      <c r="L103" s="9" t="s">
        <v>23</v>
      </c>
      <c r="M103" s="16"/>
      <c r="N103" s="16" t="s">
        <v>402</v>
      </c>
      <c r="O103" s="16" t="s">
        <v>402</v>
      </c>
      <c r="P103" s="8" t="str">
        <f>_xlfn.CONCAT(I103,CHAR(10),
       IF(AND(K103&lt;&gt;"", L103&lt;&gt;""),
          "Situación: " &amp; K103 &amp; CHAR(10) &amp; "Calificación: " &amp; L103 &amp; "%" &amp; CHAR(10),
          IF(K103&lt;&gt;"",
             "Situación: " &amp; K103 &amp; CHAR(10),
             IF(L103&lt;&gt;"",
                "Calificación: " &amp; L103 &amp; "%" &amp; CHAR(10),
                CHAR(10)))),
       "Meses: ", M103, CHAR(10),
       "Score: ", N103, CHAR(10),
       "Banco: ", O103
)</f>
        <v>El próximo año
Situación: DNI NO VALIDO
Meses: 
Score: -
Banco: -</v>
      </c>
      <c r="Q103" s="13"/>
      <c r="S103" t="s">
        <v>357</v>
      </c>
    </row>
    <row r="104" spans="1:19" x14ac:dyDescent="0.25">
      <c r="A104" s="7" t="s">
        <v>403</v>
      </c>
      <c r="B104" s="9" t="s">
        <v>404</v>
      </c>
      <c r="C104" s="9"/>
      <c r="D104" s="18">
        <v>46890499</v>
      </c>
      <c r="E104" s="18"/>
      <c r="F104" s="9"/>
      <c r="G104" s="14" t="s">
        <v>405</v>
      </c>
      <c r="H104" s="19" t="s">
        <v>21</v>
      </c>
      <c r="I104" s="9" t="s">
        <v>34</v>
      </c>
      <c r="J104" s="9" t="s">
        <v>126</v>
      </c>
      <c r="K104" s="16" t="s">
        <v>133</v>
      </c>
      <c r="L104" s="9" t="s">
        <v>23</v>
      </c>
      <c r="M104" s="16"/>
      <c r="N104" s="17">
        <v>303</v>
      </c>
      <c r="O104" s="16" t="s">
        <v>128</v>
      </c>
      <c r="P104" s="8" t="str">
        <f>_xlfn.CONCAT(I104,CHAR(10),
       IF(AND(K104&lt;&gt;"", L104&lt;&gt;""),
          "Situación: " &amp; K104 &amp; CHAR(10) &amp; "Calificación: " &amp; L104 &amp; "%" &amp; CHAR(10),
          IF(K104&lt;&gt;"",
             "Situación: " &amp; K104 &amp; CHAR(10),
             IF(L104&lt;&gt;"",
                "Calificación: " &amp; L104 &amp; "%" &amp; CHAR(10),
                CHAR(10)))),
       "Meses: ", M104, CHAR(10),
       "Score: ", N104, CHAR(10),
       "Banco: ", O104
)</f>
        <v>El próximo año
Situación: NO CALIFICA POR SCORE 
Meses: 
Score: 303
Banco: E</v>
      </c>
      <c r="Q104" s="13"/>
      <c r="S104" t="s">
        <v>24</v>
      </c>
    </row>
    <row r="105" spans="1:19" x14ac:dyDescent="0.25">
      <c r="A105" s="7" t="s">
        <v>406</v>
      </c>
      <c r="B105" s="9" t="s">
        <v>407</v>
      </c>
      <c r="C105" s="9"/>
      <c r="D105" s="18">
        <v>46825567</v>
      </c>
      <c r="E105" s="18"/>
      <c r="F105" s="9"/>
      <c r="G105" s="14" t="s">
        <v>408</v>
      </c>
      <c r="H105" s="19" t="s">
        <v>21</v>
      </c>
      <c r="I105" s="9" t="s">
        <v>34</v>
      </c>
      <c r="J105" s="9" t="s">
        <v>156</v>
      </c>
      <c r="K105" s="16"/>
      <c r="L105" s="9">
        <v>10</v>
      </c>
      <c r="M105" s="16">
        <v>6</v>
      </c>
      <c r="N105" s="17">
        <v>396</v>
      </c>
      <c r="O105" s="16" t="s">
        <v>229</v>
      </c>
      <c r="P105" s="8" t="str">
        <f>_xlfn.CONCAT(I105,CHAR(10),
       IF(AND(K105&lt;&gt;"", L105&lt;&gt;""),
          "Situación: " &amp; K105 &amp; CHAR(10) &amp; "Calificación: " &amp; L105 &amp; "%" &amp; CHAR(10),
          IF(K105&lt;&gt;"",
             "Situación: " &amp; K105 &amp; CHAR(10),
             IF(L105&lt;&gt;"",
                "Calificación: " &amp; L105 &amp; "%" &amp; CHAR(10),
                CHAR(10)))),
       "Meses: ", M105, CHAR(10),
       "Score: ", N105, CHAR(10),
       "Banco: ", O105
)</f>
        <v>El próximo año
Calificación: 10%
Meses: 6
Score: 396
Banco: A</v>
      </c>
      <c r="Q105" s="13"/>
      <c r="S105" t="s">
        <v>24</v>
      </c>
    </row>
    <row r="106" spans="1:19" x14ac:dyDescent="0.25">
      <c r="A106" s="7" t="s">
        <v>409</v>
      </c>
      <c r="B106" s="9" t="s">
        <v>410</v>
      </c>
      <c r="C106" s="9"/>
      <c r="D106" s="18">
        <v>42258514</v>
      </c>
      <c r="E106" s="18"/>
      <c r="F106" s="9"/>
      <c r="G106" s="14" t="s">
        <v>411</v>
      </c>
      <c r="H106" s="19" t="s">
        <v>21</v>
      </c>
      <c r="I106" s="9" t="s">
        <v>34</v>
      </c>
      <c r="J106" s="9" t="s">
        <v>126</v>
      </c>
      <c r="K106" s="16" t="s">
        <v>127</v>
      </c>
      <c r="L106" s="9" t="s">
        <v>23</v>
      </c>
      <c r="M106" s="16"/>
      <c r="N106" s="17">
        <v>303</v>
      </c>
      <c r="O106" s="16" t="s">
        <v>128</v>
      </c>
      <c r="P106" s="8" t="str">
        <f>_xlfn.CONCAT(I106,CHAR(10),
       IF(AND(K106&lt;&gt;"", L106&lt;&gt;""),
          "Situación: " &amp; K106 &amp; CHAR(10) &amp; "Calificación: " &amp; L106 &amp; "%" &amp; CHAR(10),
          IF(K106&lt;&gt;"",
             "Situación: " &amp; K106 &amp; CHAR(10),
             IF(L106&lt;&gt;"",
                "Calificación: " &amp; L106 &amp; "%" &amp; CHAR(10),
                CHAR(10)))),
       "Meses: ", M106, CHAR(10),
       "Score: ", N106, CHAR(10),
       "Banco: ", O106
)</f>
        <v>El próximo año
Situación: BAJO SCORE / MAL SBS 
Meses: 
Score: 303
Banco: E</v>
      </c>
      <c r="Q106" s="13"/>
      <c r="S106" t="s">
        <v>24</v>
      </c>
    </row>
    <row r="107" spans="1:19" x14ac:dyDescent="0.25">
      <c r="A107" s="7" t="s">
        <v>412</v>
      </c>
      <c r="B107" s="9" t="s">
        <v>413</v>
      </c>
      <c r="C107" s="9"/>
      <c r="D107" s="18">
        <v>75919919</v>
      </c>
      <c r="E107" s="18"/>
      <c r="F107" s="9"/>
      <c r="G107" s="14" t="s">
        <v>414</v>
      </c>
      <c r="H107" s="19" t="s">
        <v>21</v>
      </c>
      <c r="I107" s="9" t="s">
        <v>34</v>
      </c>
      <c r="J107" s="9" t="s">
        <v>126</v>
      </c>
      <c r="K107" s="16" t="s">
        <v>133</v>
      </c>
      <c r="L107" s="9" t="s">
        <v>23</v>
      </c>
      <c r="M107" s="16"/>
      <c r="N107" s="17">
        <v>290</v>
      </c>
      <c r="O107" s="16" t="s">
        <v>128</v>
      </c>
      <c r="P107" s="8" t="str">
        <f>_xlfn.CONCAT(I107,CHAR(10),
       IF(AND(K107&lt;&gt;"", L107&lt;&gt;""),
          "Situación: " &amp; K107 &amp; CHAR(10) &amp; "Calificación: " &amp; L107 &amp; "%" &amp; CHAR(10),
          IF(K107&lt;&gt;"",
             "Situación: " &amp; K107 &amp; CHAR(10),
             IF(L107&lt;&gt;"",
                "Calificación: " &amp; L107 &amp; "%" &amp; CHAR(10),
                CHAR(10)))),
       "Meses: ", M107, CHAR(10),
       "Score: ", N107, CHAR(10),
       "Banco: ", O107
)</f>
        <v>El próximo año
Situación: NO CALIFICA POR SCORE 
Meses: 
Score: 290
Banco: E</v>
      </c>
      <c r="Q107" s="13"/>
      <c r="S107" t="s">
        <v>24</v>
      </c>
    </row>
    <row r="108" spans="1:19" x14ac:dyDescent="0.25">
      <c r="A108" s="7" t="s">
        <v>415</v>
      </c>
      <c r="B108" s="9" t="s">
        <v>416</v>
      </c>
      <c r="C108" s="9"/>
      <c r="D108" s="18">
        <v>73086050</v>
      </c>
      <c r="E108" s="18"/>
      <c r="F108" s="9"/>
      <c r="G108" s="14" t="s">
        <v>417</v>
      </c>
      <c r="H108" s="19" t="s">
        <v>21</v>
      </c>
      <c r="I108" s="9" t="s">
        <v>29</v>
      </c>
      <c r="J108" s="9" t="s">
        <v>126</v>
      </c>
      <c r="K108" s="16" t="s">
        <v>133</v>
      </c>
      <c r="L108" s="9" t="s">
        <v>23</v>
      </c>
      <c r="M108" s="16"/>
      <c r="N108" s="17">
        <v>293</v>
      </c>
      <c r="O108" s="16" t="s">
        <v>128</v>
      </c>
      <c r="P108" s="8" t="str">
        <f>_xlfn.CONCAT(I108,CHAR(10),
       IF(AND(K108&lt;&gt;"", L108&lt;&gt;""),
          "Situación: " &amp; K108 &amp; CHAR(10) &amp; "Calificación: " &amp; L108 &amp; "%" &amp; CHAR(10),
          IF(K108&lt;&gt;"",
             "Situación: " &amp; K108 &amp; CHAR(10),
             IF(L108&lt;&gt;"",
                "Calificación: " &amp; L108 &amp; "%" &amp; CHAR(10),
                CHAR(10)))),
       "Meses: ", M108, CHAR(10),
       "Score: ", N108, CHAR(10),
       "Banco: ", O108
)</f>
        <v>Lo mas pronto
Situación: NO CALIFICA POR SCORE 
Meses: 
Score: 293
Banco: E</v>
      </c>
      <c r="Q108" s="13"/>
      <c r="S108" t="s">
        <v>24</v>
      </c>
    </row>
    <row r="109" spans="1:19" x14ac:dyDescent="0.25">
      <c r="A109" s="7" t="s">
        <v>418</v>
      </c>
      <c r="B109" s="9" t="s">
        <v>419</v>
      </c>
      <c r="C109" s="9"/>
      <c r="D109" s="18">
        <v>18111807</v>
      </c>
      <c r="E109" s="18"/>
      <c r="F109" s="9"/>
      <c r="G109" s="14" t="s">
        <v>420</v>
      </c>
      <c r="H109" s="19" t="s">
        <v>21</v>
      </c>
      <c r="I109" s="9" t="s">
        <v>22</v>
      </c>
      <c r="J109" s="9" t="s">
        <v>126</v>
      </c>
      <c r="K109" s="16" t="s">
        <v>133</v>
      </c>
      <c r="L109" s="9" t="s">
        <v>23</v>
      </c>
      <c r="M109" s="16"/>
      <c r="N109" s="17">
        <v>306</v>
      </c>
      <c r="O109" s="16" t="s">
        <v>260</v>
      </c>
      <c r="P109" s="8" t="str">
        <f>_xlfn.CONCAT(I109,CHAR(10),
       IF(AND(K109&lt;&gt;"", L109&lt;&gt;""),
          "Situación: " &amp; K109 &amp; CHAR(10) &amp; "Calificación: " &amp; L109 &amp; "%" &amp; CHAR(10),
          IF(K109&lt;&gt;"",
             "Situación: " &amp; K109 &amp; CHAR(10),
             IF(L109&lt;&gt;"",
                "Calificación: " &amp; L109 &amp; "%" &amp; CHAR(10),
                CHAR(10)))),
       "Meses: ", M109, CHAR(10),
       "Score: ", N109, CHAR(10),
       "Banco: ", O109
)</f>
        <v>Para diciembre de este año
Situación: NO CALIFICA POR SCORE 
Meses: 
Score: 306
Banco: D</v>
      </c>
      <c r="Q109" s="13"/>
      <c r="S109" t="s">
        <v>24</v>
      </c>
    </row>
    <row r="110" spans="1:19" x14ac:dyDescent="0.25">
      <c r="A110" s="7" t="s">
        <v>421</v>
      </c>
      <c r="B110" s="9" t="s">
        <v>422</v>
      </c>
      <c r="C110" s="9"/>
      <c r="D110" s="18">
        <v>75021354</v>
      </c>
      <c r="E110" s="9"/>
      <c r="F110" s="9"/>
      <c r="G110" s="14" t="s">
        <v>423</v>
      </c>
      <c r="H110" s="19" t="s">
        <v>424</v>
      </c>
      <c r="I110" s="9" t="s">
        <v>39</v>
      </c>
      <c r="J110" s="9" t="s">
        <v>156</v>
      </c>
      <c r="K110" s="16"/>
      <c r="L110" s="9">
        <v>10</v>
      </c>
      <c r="M110" s="16">
        <v>6</v>
      </c>
      <c r="N110" s="17">
        <v>410</v>
      </c>
      <c r="O110" s="16" t="s">
        <v>229</v>
      </c>
      <c r="P110" s="8" t="str">
        <f>_xlfn.CONCAT(I110,CHAR(10),
       IF(AND(K110&lt;&gt;"", L110&lt;&gt;""),
          "Situación: " &amp; K110 &amp; CHAR(10) &amp; "Calificación: " &amp; L110 &amp; "%" &amp; CHAR(10),
          IF(K110&lt;&gt;"",
             "Situación: " &amp; K110 &amp; CHAR(10),
             IF(L110&lt;&gt;"",
                "Calificación: " &amp; L110 &amp; "%" &amp; CHAR(10),
                CHAR(10)))),
       "Meses: ", M110, CHAR(10),
       "Score: ", N110, CHAR(10),
       "Banco: ", O110
)</f>
        <v>Directo a Whatsapp
Calificación: 10%
Meses: 6
Score: 410
Banco: A</v>
      </c>
      <c r="Q110" s="13"/>
      <c r="S110" t="s">
        <v>24</v>
      </c>
    </row>
    <row r="111" spans="1:19" x14ac:dyDescent="0.25">
      <c r="A111" s="7" t="s">
        <v>421</v>
      </c>
      <c r="B111" s="9" t="s">
        <v>425</v>
      </c>
      <c r="C111" s="9"/>
      <c r="D111" s="18">
        <v>43628177</v>
      </c>
      <c r="E111" s="9"/>
      <c r="F111" s="9"/>
      <c r="G111" s="14" t="s">
        <v>426</v>
      </c>
      <c r="H111" s="19" t="s">
        <v>21</v>
      </c>
      <c r="I111" s="9" t="s">
        <v>29</v>
      </c>
      <c r="J111" s="9" t="s">
        <v>156</v>
      </c>
      <c r="K111" s="16"/>
      <c r="L111" s="9">
        <v>10</v>
      </c>
      <c r="M111" s="16">
        <v>6</v>
      </c>
      <c r="N111" s="17">
        <v>402</v>
      </c>
      <c r="O111" s="16" t="s">
        <v>166</v>
      </c>
      <c r="P111" s="8" t="str">
        <f>_xlfn.CONCAT(I111,CHAR(10),
       IF(AND(K111&lt;&gt;"", L111&lt;&gt;""),
          "Situación: " &amp; K111 &amp; CHAR(10) &amp; "Calificación: " &amp; L111 &amp; "%" &amp; CHAR(10),
          IF(K111&lt;&gt;"",
             "Situación: " &amp; K111 &amp; CHAR(10),
             IF(L111&lt;&gt;"",
                "Calificación: " &amp; L111 &amp; "%" &amp; CHAR(10),
                CHAR(10)))),
       "Meses: ", M111, CHAR(10),
       "Score: ", N111, CHAR(10),
       "Banco: ", O111
)</f>
        <v>Lo mas pronto
Calificación: 10%
Meses: 6
Score: 402
Banco: B</v>
      </c>
      <c r="Q111" s="13"/>
      <c r="S111" t="s">
        <v>24</v>
      </c>
    </row>
    <row r="112" spans="1:19" x14ac:dyDescent="0.25">
      <c r="A112" s="7" t="s">
        <v>427</v>
      </c>
      <c r="B112" s="9" t="s">
        <v>428</v>
      </c>
      <c r="C112" s="9"/>
      <c r="D112" s="18">
        <v>70788254</v>
      </c>
      <c r="E112" s="9"/>
      <c r="F112" s="9"/>
      <c r="G112" s="14" t="s">
        <v>429</v>
      </c>
      <c r="H112" s="19" t="s">
        <v>21</v>
      </c>
      <c r="I112" s="9" t="s">
        <v>22</v>
      </c>
      <c r="J112" s="9" t="s">
        <v>126</v>
      </c>
      <c r="K112" s="16" t="s">
        <v>127</v>
      </c>
      <c r="L112" s="9" t="s">
        <v>23</v>
      </c>
      <c r="M112" s="16"/>
      <c r="N112" s="17">
        <v>301</v>
      </c>
      <c r="O112" s="16" t="s">
        <v>128</v>
      </c>
      <c r="P112" s="8" t="str">
        <f>_xlfn.CONCAT(I112,CHAR(10),
       IF(AND(K112&lt;&gt;"", L112&lt;&gt;""),
          "Situación: " &amp; K112 &amp; CHAR(10) &amp; "Calificación: " &amp; L112 &amp; "%" &amp; CHAR(10),
          IF(K112&lt;&gt;"",
             "Situación: " &amp; K112 &amp; CHAR(10),
             IF(L112&lt;&gt;"",
                "Calificación: " &amp; L112 &amp; "%" &amp; CHAR(10),
                CHAR(10)))),
       "Meses: ", M112, CHAR(10),
       "Score: ", N112, CHAR(10),
       "Banco: ", O112
)</f>
        <v>Para diciembre de este año
Situación: BAJO SCORE / MAL SBS 
Meses: 
Score: 301
Banco: E</v>
      </c>
      <c r="Q112" s="13"/>
      <c r="S112" t="s">
        <v>24</v>
      </c>
    </row>
    <row r="113" spans="1:19" x14ac:dyDescent="0.25">
      <c r="A113" s="7" t="s">
        <v>430</v>
      </c>
      <c r="B113" s="9" t="s">
        <v>431</v>
      </c>
      <c r="C113" s="9"/>
      <c r="D113" s="18">
        <v>46080392</v>
      </c>
      <c r="E113" s="9"/>
      <c r="F113" s="9"/>
      <c r="G113" s="14" t="s">
        <v>432</v>
      </c>
      <c r="H113" s="19" t="s">
        <v>21</v>
      </c>
      <c r="I113" s="9" t="s">
        <v>29</v>
      </c>
      <c r="J113" s="9" t="s">
        <v>156</v>
      </c>
      <c r="K113" s="16"/>
      <c r="L113" s="9">
        <v>10</v>
      </c>
      <c r="M113" s="16">
        <v>6</v>
      </c>
      <c r="N113" s="17">
        <v>458</v>
      </c>
      <c r="O113" s="16" t="s">
        <v>166</v>
      </c>
      <c r="P113" s="8" t="str">
        <f>_xlfn.CONCAT(I113,CHAR(10),
       IF(AND(K113&lt;&gt;"", L113&lt;&gt;""),
          "Situación: " &amp; K113 &amp; CHAR(10) &amp; "Calificación: " &amp; L113 &amp; "%" &amp; CHAR(10),
          IF(K113&lt;&gt;"",
             "Situación: " &amp; K113 &amp; CHAR(10),
             IF(L113&lt;&gt;"",
                "Calificación: " &amp; L113 &amp; "%" &amp; CHAR(10),
                CHAR(10)))),
       "Meses: ", M113, CHAR(10),
       "Score: ", N113, CHAR(10),
       "Banco: ", O113
)</f>
        <v>Lo mas pronto
Calificación: 10%
Meses: 6
Score: 458
Banco: B</v>
      </c>
      <c r="Q113" s="13"/>
      <c r="S113" t="s">
        <v>24</v>
      </c>
    </row>
    <row r="114" spans="1:19" x14ac:dyDescent="0.25">
      <c r="A114" s="7" t="s">
        <v>433</v>
      </c>
      <c r="B114" s="9" t="s">
        <v>434</v>
      </c>
      <c r="C114" s="9"/>
      <c r="D114" s="18">
        <v>42902235</v>
      </c>
      <c r="E114" s="9"/>
      <c r="F114" s="9"/>
      <c r="G114" s="14" t="s">
        <v>435</v>
      </c>
      <c r="H114" s="19" t="s">
        <v>21</v>
      </c>
      <c r="I114" s="9" t="s">
        <v>34</v>
      </c>
      <c r="J114" s="9" t="s">
        <v>126</v>
      </c>
      <c r="K114" s="16" t="s">
        <v>127</v>
      </c>
      <c r="L114" s="9" t="s">
        <v>23</v>
      </c>
      <c r="M114" s="16"/>
      <c r="N114" s="17">
        <v>319</v>
      </c>
      <c r="O114" s="16" t="s">
        <v>128</v>
      </c>
      <c r="P114" s="8" t="str">
        <f>_xlfn.CONCAT(I114,CHAR(10),
       IF(AND(K114&lt;&gt;"", L114&lt;&gt;""),
          "Situación: " &amp; K114 &amp; CHAR(10) &amp; "Calificación: " &amp; L114 &amp; "%" &amp; CHAR(10),
          IF(K114&lt;&gt;"",
             "Situación: " &amp; K114 &amp; CHAR(10),
             IF(L114&lt;&gt;"",
                "Calificación: " &amp; L114 &amp; "%" &amp; CHAR(10),
                CHAR(10)))),
       "Meses: ", M114, CHAR(10),
       "Score: ", N114, CHAR(10),
       "Banco: ", O114
)</f>
        <v>El próximo año
Situación: BAJO SCORE / MAL SBS 
Meses: 
Score: 319
Banco: E</v>
      </c>
      <c r="Q114" s="13"/>
      <c r="S114" t="s">
        <v>24</v>
      </c>
    </row>
    <row r="115" spans="1:19" x14ac:dyDescent="0.25">
      <c r="A115" s="7" t="s">
        <v>436</v>
      </c>
      <c r="B115" s="9" t="s">
        <v>437</v>
      </c>
      <c r="C115" s="9"/>
      <c r="D115" s="10">
        <v>75565046</v>
      </c>
      <c r="E115" s="8" t="s">
        <v>438</v>
      </c>
      <c r="F115" s="9"/>
      <c r="G115" s="14" t="s">
        <v>439</v>
      </c>
      <c r="H115" s="8" t="s">
        <v>440</v>
      </c>
      <c r="I115" s="9" t="s">
        <v>34</v>
      </c>
      <c r="J115" s="9" t="s">
        <v>126</v>
      </c>
      <c r="K115" s="16" t="s">
        <v>127</v>
      </c>
      <c r="L115" s="9" t="s">
        <v>23</v>
      </c>
      <c r="M115" s="16"/>
      <c r="N115" s="17">
        <v>313</v>
      </c>
      <c r="O115" s="16" t="s">
        <v>128</v>
      </c>
      <c r="P115" s="8" t="str">
        <f>_xlfn.CONCAT(I115,CHAR(10),
       IF(AND(K115&lt;&gt;"", L115&lt;&gt;""),
          "Situación: " &amp; K115 &amp; CHAR(10) &amp; "Calificación: " &amp; L115 &amp; "%" &amp; CHAR(10),
          IF(K115&lt;&gt;"",
             "Situación: " &amp; K115 &amp; CHAR(10),
             IF(L115&lt;&gt;"",
                "Calificación: " &amp; L115 &amp; "%" &amp; CHAR(10),
                CHAR(10)))),
       "Meses: ", M115, CHAR(10),
       "Score: ", N115, CHAR(10),
       "Banco: ", O115
)</f>
        <v>El próximo año
Situación: BAJO SCORE / MAL SBS 
Meses: 
Score: 313
Banco: E</v>
      </c>
      <c r="Q115" s="13"/>
      <c r="S115" t="s">
        <v>24</v>
      </c>
    </row>
    <row r="116" spans="1:19" x14ac:dyDescent="0.25">
      <c r="A116" s="7" t="s">
        <v>441</v>
      </c>
      <c r="B116" s="9" t="s">
        <v>442</v>
      </c>
      <c r="C116" s="9"/>
      <c r="D116" s="18">
        <v>71142120</v>
      </c>
      <c r="E116" s="9"/>
      <c r="F116" s="9"/>
      <c r="G116" s="14" t="s">
        <v>443</v>
      </c>
      <c r="H116" s="19" t="s">
        <v>21</v>
      </c>
      <c r="I116" s="9" t="s">
        <v>22</v>
      </c>
      <c r="J116" s="9" t="s">
        <v>126</v>
      </c>
      <c r="K116" s="16" t="s">
        <v>127</v>
      </c>
      <c r="L116" s="9" t="s">
        <v>23</v>
      </c>
      <c r="M116" s="16"/>
      <c r="N116" s="17">
        <v>310</v>
      </c>
      <c r="O116" s="16" t="s">
        <v>128</v>
      </c>
      <c r="P116" s="8" t="str">
        <f>_xlfn.CONCAT(I116,CHAR(10),
       IF(AND(K116&lt;&gt;"", L116&lt;&gt;""),
          "Situación: " &amp; K116 &amp; CHAR(10) &amp; "Calificación: " &amp; L116 &amp; "%" &amp; CHAR(10),
          IF(K116&lt;&gt;"",
             "Situación: " &amp; K116 &amp; CHAR(10),
             IF(L116&lt;&gt;"",
                "Calificación: " &amp; L116 &amp; "%" &amp; CHAR(10),
                CHAR(10)))),
       "Meses: ", M116, CHAR(10),
       "Score: ", N116, CHAR(10),
       "Banco: ", O116
)</f>
        <v>Para diciembre de este año
Situación: BAJO SCORE / MAL SBS 
Meses: 
Score: 310
Banco: E</v>
      </c>
      <c r="Q116" s="13"/>
      <c r="S116" t="s">
        <v>24</v>
      </c>
    </row>
    <row r="117" spans="1:19" x14ac:dyDescent="0.25">
      <c r="A117" s="7" t="s">
        <v>444</v>
      </c>
      <c r="B117" s="9" t="s">
        <v>445</v>
      </c>
      <c r="C117" s="9"/>
      <c r="D117" s="18">
        <v>17939313</v>
      </c>
      <c r="E117" s="9"/>
      <c r="F117" s="9"/>
      <c r="G117" s="14" t="s">
        <v>446</v>
      </c>
      <c r="H117" s="19" t="s">
        <v>48</v>
      </c>
      <c r="I117" s="9" t="s">
        <v>22</v>
      </c>
      <c r="J117" s="9" t="s">
        <v>126</v>
      </c>
      <c r="K117" s="16" t="s">
        <v>133</v>
      </c>
      <c r="L117" s="9" t="s">
        <v>23</v>
      </c>
      <c r="M117" s="16"/>
      <c r="N117" s="17">
        <v>246</v>
      </c>
      <c r="O117" s="16" t="s">
        <v>128</v>
      </c>
      <c r="P117" s="8" t="str">
        <f>_xlfn.CONCAT(I117,CHAR(10),
       IF(AND(K117&lt;&gt;"", L117&lt;&gt;""),
          "Situación: " &amp; K117 &amp; CHAR(10) &amp; "Calificación: " &amp; L117 &amp; "%" &amp; CHAR(10),
          IF(K117&lt;&gt;"",
             "Situación: " &amp; K117 &amp; CHAR(10),
             IF(L117&lt;&gt;"",
                "Calificación: " &amp; L117 &amp; "%" &amp; CHAR(10),
                CHAR(10)))),
       "Meses: ", M117, CHAR(10),
       "Score: ", N117, CHAR(10),
       "Banco: ", O117
)</f>
        <v>Para diciembre de este año
Situación: NO CALIFICA POR SCORE 
Meses: 
Score: 246
Banco: E</v>
      </c>
      <c r="Q117" s="13"/>
      <c r="S117" t="s">
        <v>24</v>
      </c>
    </row>
    <row r="118" spans="1:19" x14ac:dyDescent="0.25">
      <c r="A118" s="7" t="s">
        <v>447</v>
      </c>
      <c r="B118" s="9" t="s">
        <v>448</v>
      </c>
      <c r="C118" s="9"/>
      <c r="D118" s="18">
        <v>70233709</v>
      </c>
      <c r="E118" s="9"/>
      <c r="F118" s="9"/>
      <c r="G118" s="14" t="s">
        <v>449</v>
      </c>
      <c r="H118" s="19" t="s">
        <v>21</v>
      </c>
      <c r="I118" s="9" t="s">
        <v>29</v>
      </c>
      <c r="J118" s="9" t="s">
        <v>126</v>
      </c>
      <c r="K118" s="16" t="s">
        <v>133</v>
      </c>
      <c r="L118" s="9" t="s">
        <v>23</v>
      </c>
      <c r="M118" s="16"/>
      <c r="N118" s="17">
        <v>305</v>
      </c>
      <c r="O118" s="16" t="s">
        <v>128</v>
      </c>
      <c r="P118" s="8" t="str">
        <f>_xlfn.CONCAT(I118,CHAR(10),
       IF(AND(K118&lt;&gt;"", L118&lt;&gt;""),
          "Situación: " &amp; K118 &amp; CHAR(10) &amp; "Calificación: " &amp; L118 &amp; "%" &amp; CHAR(10),
          IF(K118&lt;&gt;"",
             "Situación: " &amp; K118 &amp; CHAR(10),
             IF(L118&lt;&gt;"",
                "Calificación: " &amp; L118 &amp; "%" &amp; CHAR(10),
                CHAR(10)))),
       "Meses: ", M118, CHAR(10),
       "Score: ", N118, CHAR(10),
       "Banco: ", O118
)</f>
        <v>Lo mas pronto
Situación: NO CALIFICA POR SCORE 
Meses: 
Score: 305
Banco: E</v>
      </c>
      <c r="Q118" s="13"/>
      <c r="S118" t="s">
        <v>24</v>
      </c>
    </row>
    <row r="119" spans="1:19" x14ac:dyDescent="0.25">
      <c r="A119" s="7" t="s">
        <v>450</v>
      </c>
      <c r="B119" s="9" t="s">
        <v>451</v>
      </c>
      <c r="C119" s="9"/>
      <c r="D119" s="10">
        <v>70082975</v>
      </c>
      <c r="E119" s="8" t="s">
        <v>452</v>
      </c>
      <c r="F119" s="9"/>
      <c r="G119" s="14" t="s">
        <v>453</v>
      </c>
      <c r="H119" s="8" t="s">
        <v>21</v>
      </c>
      <c r="I119" s="9" t="s">
        <v>34</v>
      </c>
      <c r="J119" s="9" t="s">
        <v>156</v>
      </c>
      <c r="K119" s="16"/>
      <c r="L119" s="9">
        <v>10</v>
      </c>
      <c r="M119" s="16">
        <v>6</v>
      </c>
      <c r="N119" s="17">
        <v>501</v>
      </c>
      <c r="O119" s="16" t="s">
        <v>229</v>
      </c>
      <c r="P119" s="8" t="str">
        <f>_xlfn.CONCAT(I119,CHAR(10),
       IF(AND(K119&lt;&gt;"", L119&lt;&gt;""),
          "Situación: " &amp; K119 &amp; CHAR(10) &amp; "Calificación: " &amp; L119 &amp; "%" &amp; CHAR(10),
          IF(K119&lt;&gt;"",
             "Situación: " &amp; K119 &amp; CHAR(10),
             IF(L119&lt;&gt;"",
                "Calificación: " &amp; L119 &amp; "%" &amp; CHAR(10),
                CHAR(10)))),
       "Meses: ", M119, CHAR(10),
       "Score: ", N119, CHAR(10),
       "Banco: ", O119
)</f>
        <v>El próximo año
Calificación: 10%
Meses: 6
Score: 501
Banco: A</v>
      </c>
      <c r="Q119" s="13"/>
      <c r="S119" t="s">
        <v>24</v>
      </c>
    </row>
    <row r="120" spans="1:19" x14ac:dyDescent="0.25">
      <c r="A120" s="7" t="s">
        <v>454</v>
      </c>
      <c r="B120" s="9" t="s">
        <v>455</v>
      </c>
      <c r="C120" s="9"/>
      <c r="D120" s="10">
        <v>70148982</v>
      </c>
      <c r="E120" s="8" t="s">
        <v>456</v>
      </c>
      <c r="F120" s="9"/>
      <c r="G120" s="14" t="s">
        <v>457</v>
      </c>
      <c r="H120" s="8" t="s">
        <v>21</v>
      </c>
      <c r="I120" s="9" t="s">
        <v>34</v>
      </c>
      <c r="J120" s="9" t="s">
        <v>164</v>
      </c>
      <c r="K120" s="16" t="s">
        <v>200</v>
      </c>
      <c r="L120" s="9" t="s">
        <v>23</v>
      </c>
      <c r="M120" s="16"/>
      <c r="N120" s="17">
        <v>351</v>
      </c>
      <c r="O120" s="16" t="s">
        <v>166</v>
      </c>
      <c r="P120" s="8" t="str">
        <f>_xlfn.CONCAT(I120,CHAR(10),
       IF(AND(K120&lt;&gt;"", L120&lt;&gt;""),
          "Situación: " &amp; K120 &amp; CHAR(10) &amp; "Calificación: " &amp; L120 &amp; "%" &amp; CHAR(10),
          IF(K120&lt;&gt;"",
             "Situación: " &amp; K120 &amp; CHAR(10),
             IF(L120&lt;&gt;"",
                "Calificación: " &amp; L120 &amp; "%" &amp; CHAR(10),
                CHAR(10)))),
       "Meses: ", M120, CHAR(10),
       "Score: ", N120, CHAR(10),
       "Banco: ", O120
)</f>
        <v>El próximo año
Situación: MAL SBS 
Meses: 
Score: 351
Banco: B</v>
      </c>
      <c r="Q120" s="13"/>
      <c r="S120" t="s">
        <v>24</v>
      </c>
    </row>
    <row r="121" spans="1:19" x14ac:dyDescent="0.25">
      <c r="A121" s="7" t="s">
        <v>458</v>
      </c>
      <c r="B121" s="9" t="s">
        <v>459</v>
      </c>
      <c r="C121" s="9"/>
      <c r="D121" s="10">
        <v>44219933</v>
      </c>
      <c r="E121" s="8" t="s">
        <v>460</v>
      </c>
      <c r="F121" s="9"/>
      <c r="G121" s="14" t="s">
        <v>461</v>
      </c>
      <c r="H121" s="8" t="s">
        <v>21</v>
      </c>
      <c r="I121" s="9" t="s">
        <v>34</v>
      </c>
      <c r="J121" s="9" t="s">
        <v>156</v>
      </c>
      <c r="K121" s="16"/>
      <c r="L121" s="9">
        <v>20</v>
      </c>
      <c r="M121" s="16">
        <v>9</v>
      </c>
      <c r="N121" s="17">
        <v>338</v>
      </c>
      <c r="O121" s="16" t="s">
        <v>260</v>
      </c>
      <c r="P121" s="8" t="str">
        <f>_xlfn.CONCAT(I121,CHAR(10),
       IF(AND(K121&lt;&gt;"", L121&lt;&gt;""),
          "Situación: " &amp; K121 &amp; CHAR(10) &amp; "Calificación: " &amp; L121 &amp; "%" &amp; CHAR(10),
          IF(K121&lt;&gt;"",
             "Situación: " &amp; K121 &amp; CHAR(10),
             IF(L121&lt;&gt;"",
                "Calificación: " &amp; L121 &amp; "%" &amp; CHAR(10),
                CHAR(10)))),
       "Meses: ", M121, CHAR(10),
       "Score: ", N121, CHAR(10),
       "Banco: ", O121
)</f>
        <v>El próximo año
Calificación: 20%
Meses: 9
Score: 338
Banco: D</v>
      </c>
      <c r="Q121" s="13"/>
      <c r="S121" t="s">
        <v>24</v>
      </c>
    </row>
    <row r="122" spans="1:19" x14ac:dyDescent="0.25">
      <c r="A122" s="7" t="s">
        <v>462</v>
      </c>
      <c r="B122" s="9" t="s">
        <v>463</v>
      </c>
      <c r="C122" s="9"/>
      <c r="D122" s="18">
        <v>75233832</v>
      </c>
      <c r="E122" s="9"/>
      <c r="F122" s="9"/>
      <c r="G122" s="14" t="s">
        <v>464</v>
      </c>
      <c r="H122" s="19" t="s">
        <v>21</v>
      </c>
      <c r="I122" s="9" t="s">
        <v>34</v>
      </c>
      <c r="J122" s="9" t="s">
        <v>156</v>
      </c>
      <c r="K122" s="16"/>
      <c r="L122" s="9">
        <v>20</v>
      </c>
      <c r="M122" s="16">
        <v>6</v>
      </c>
      <c r="N122" s="17">
        <v>374</v>
      </c>
      <c r="O122" s="16" t="s">
        <v>166</v>
      </c>
      <c r="P122" s="8" t="str">
        <f>_xlfn.CONCAT(I122,CHAR(10),
       IF(AND(K122&lt;&gt;"", L122&lt;&gt;""),
          "Situación: " &amp; K122 &amp; CHAR(10) &amp; "Calificación: " &amp; L122 &amp; "%" &amp; CHAR(10),
          IF(K122&lt;&gt;"",
             "Situación: " &amp; K122 &amp; CHAR(10),
             IF(L122&lt;&gt;"",
                "Calificación: " &amp; L122 &amp; "%" &amp; CHAR(10),
                CHAR(10)))),
       "Meses: ", M122, CHAR(10),
       "Score: ", N122, CHAR(10),
       "Banco: ", O122
)</f>
        <v>El próximo año
Calificación: 20%
Meses: 6
Score: 374
Banco: B</v>
      </c>
      <c r="Q122" s="13"/>
      <c r="S122" t="s">
        <v>24</v>
      </c>
    </row>
    <row r="123" spans="1:19" x14ac:dyDescent="0.25">
      <c r="A123" s="7" t="s">
        <v>465</v>
      </c>
      <c r="B123" s="9" t="s">
        <v>466</v>
      </c>
      <c r="C123" s="9"/>
      <c r="D123" s="18">
        <v>75453420</v>
      </c>
      <c r="E123" s="9"/>
      <c r="F123" s="9"/>
      <c r="G123" s="14" t="s">
        <v>467</v>
      </c>
      <c r="H123" s="19" t="s">
        <v>21</v>
      </c>
      <c r="I123" s="9" t="s">
        <v>29</v>
      </c>
      <c r="J123" s="9" t="s">
        <v>156</v>
      </c>
      <c r="K123" s="16"/>
      <c r="L123" s="9">
        <v>10</v>
      </c>
      <c r="M123" s="16">
        <v>6</v>
      </c>
      <c r="N123" s="17">
        <v>439</v>
      </c>
      <c r="O123" s="16" t="s">
        <v>166</v>
      </c>
      <c r="P123" s="8" t="str">
        <f>_xlfn.CONCAT(I123,CHAR(10),
       IF(AND(K123&lt;&gt;"", L123&lt;&gt;""),
          "Situación: " &amp; K123 &amp; CHAR(10) &amp; "Calificación: " &amp; L123 &amp; "%" &amp; CHAR(10),
          IF(K123&lt;&gt;"",
             "Situación: " &amp; K123 &amp; CHAR(10),
             IF(L123&lt;&gt;"",
                "Calificación: " &amp; L123 &amp; "%" &amp; CHAR(10),
                CHAR(10)))),
       "Meses: ", M123, CHAR(10),
       "Score: ", N123, CHAR(10),
       "Banco: ", O123
)</f>
        <v>Lo mas pronto
Calificación: 10%
Meses: 6
Score: 439
Banco: B</v>
      </c>
      <c r="Q123" s="13"/>
      <c r="S123" t="s">
        <v>24</v>
      </c>
    </row>
    <row r="124" spans="1:19" x14ac:dyDescent="0.25">
      <c r="A124" s="7" t="s">
        <v>468</v>
      </c>
      <c r="B124" s="9" t="s">
        <v>469</v>
      </c>
      <c r="C124" s="9"/>
      <c r="D124" s="18">
        <v>72402215</v>
      </c>
      <c r="E124" s="19" t="s">
        <v>470</v>
      </c>
      <c r="F124" s="9"/>
      <c r="G124" s="14" t="s">
        <v>471</v>
      </c>
      <c r="H124" s="19" t="s">
        <v>21</v>
      </c>
      <c r="I124" s="9" t="s">
        <v>34</v>
      </c>
      <c r="J124" s="9" t="s">
        <v>156</v>
      </c>
      <c r="K124" s="16"/>
      <c r="L124" s="9">
        <v>20</v>
      </c>
      <c r="M124" s="16">
        <v>9</v>
      </c>
      <c r="N124" s="17">
        <v>341</v>
      </c>
      <c r="O124" s="16" t="s">
        <v>138</v>
      </c>
      <c r="P124" s="8" t="str">
        <f>_xlfn.CONCAT(I124,CHAR(10),
       IF(AND(K124&lt;&gt;"", L124&lt;&gt;""),
          "Situación: " &amp; K124 &amp; CHAR(10) &amp; "Calificación: " &amp; L124 &amp; "%" &amp; CHAR(10),
          IF(K124&lt;&gt;"",
             "Situación: " &amp; K124 &amp; CHAR(10),
             IF(L124&lt;&gt;"",
                "Calificación: " &amp; L124 &amp; "%" &amp; CHAR(10),
                CHAR(10)))),
       "Meses: ", M124, CHAR(10),
       "Score: ", N124, CHAR(10),
       "Banco: ", O124
)</f>
        <v>El próximo año
Calificación: 20%
Meses: 9
Score: 341
Banco: C</v>
      </c>
      <c r="Q124" s="13"/>
      <c r="S124" t="s">
        <v>24</v>
      </c>
    </row>
    <row r="125" spans="1:19" x14ac:dyDescent="0.25">
      <c r="A125" s="7" t="s">
        <v>472</v>
      </c>
      <c r="B125" s="9" t="s">
        <v>473</v>
      </c>
      <c r="C125" s="9"/>
      <c r="D125" s="18">
        <v>46765709</v>
      </c>
      <c r="E125" s="9"/>
      <c r="F125" s="9"/>
      <c r="G125" s="14" t="s">
        <v>474</v>
      </c>
      <c r="H125" s="19" t="s">
        <v>21</v>
      </c>
      <c r="I125" s="9" t="s">
        <v>22</v>
      </c>
      <c r="J125" s="9" t="s">
        <v>126</v>
      </c>
      <c r="K125" s="16" t="s">
        <v>133</v>
      </c>
      <c r="L125" s="9" t="s">
        <v>23</v>
      </c>
      <c r="M125" s="16"/>
      <c r="N125" s="17">
        <v>308</v>
      </c>
      <c r="O125" s="16" t="s">
        <v>138</v>
      </c>
      <c r="P125" s="8" t="str">
        <f>_xlfn.CONCAT(I125,CHAR(10),
       IF(AND(K125&lt;&gt;"", L125&lt;&gt;""),
          "Situación: " &amp; K125 &amp; CHAR(10) &amp; "Calificación: " &amp; L125 &amp; "%" &amp; CHAR(10),
          IF(K125&lt;&gt;"",
             "Situación: " &amp; K125 &amp; CHAR(10),
             IF(L125&lt;&gt;"",
                "Calificación: " &amp; L125 &amp; "%" &amp; CHAR(10),
                CHAR(10)))),
       "Meses: ", M125, CHAR(10),
       "Score: ", N125, CHAR(10),
       "Banco: ", O125
)</f>
        <v>Para diciembre de este año
Situación: NO CALIFICA POR SCORE 
Meses: 
Score: 308
Banco: C</v>
      </c>
      <c r="Q125" s="13"/>
      <c r="S125" t="s">
        <v>24</v>
      </c>
    </row>
    <row r="126" spans="1:19" x14ac:dyDescent="0.25">
      <c r="A126" s="7" t="s">
        <v>475</v>
      </c>
      <c r="B126" s="9" t="s">
        <v>476</v>
      </c>
      <c r="C126" s="9"/>
      <c r="D126" s="18">
        <v>44425601</v>
      </c>
      <c r="E126" s="9"/>
      <c r="F126" s="9"/>
      <c r="G126" s="14" t="s">
        <v>477</v>
      </c>
      <c r="H126" s="19" t="s">
        <v>21</v>
      </c>
      <c r="I126" s="9" t="s">
        <v>34</v>
      </c>
      <c r="J126" s="9" t="s">
        <v>164</v>
      </c>
      <c r="K126" s="16" t="s">
        <v>200</v>
      </c>
      <c r="L126" s="9" t="s">
        <v>23</v>
      </c>
      <c r="M126" s="16"/>
      <c r="N126" s="17">
        <v>385</v>
      </c>
      <c r="O126" s="16" t="s">
        <v>229</v>
      </c>
      <c r="P126" s="8" t="str">
        <f>_xlfn.CONCAT(I126,CHAR(10),
       IF(AND(K126&lt;&gt;"", L126&lt;&gt;""),
          "Situación: " &amp; K126 &amp; CHAR(10) &amp; "Calificación: " &amp; L126 &amp; "%" &amp; CHAR(10),
          IF(K126&lt;&gt;"",
             "Situación: " &amp; K126 &amp; CHAR(10),
             IF(L126&lt;&gt;"",
                "Calificación: " &amp; L126 &amp; "%" &amp; CHAR(10),
                CHAR(10)))),
       "Meses: ", M126, CHAR(10),
       "Score: ", N126, CHAR(10),
       "Banco: ", O126
)</f>
        <v>El próximo año
Situación: MAL SBS 
Meses: 
Score: 385
Banco: A</v>
      </c>
      <c r="Q126" s="13"/>
      <c r="S126" t="s">
        <v>24</v>
      </c>
    </row>
    <row r="127" spans="1:19" x14ac:dyDescent="0.25">
      <c r="A127" s="7" t="s">
        <v>478</v>
      </c>
      <c r="B127" s="9" t="s">
        <v>479</v>
      </c>
      <c r="C127" s="9"/>
      <c r="D127" s="18">
        <v>19563161</v>
      </c>
      <c r="E127" s="9"/>
      <c r="F127" s="9"/>
      <c r="G127" s="14" t="s">
        <v>480</v>
      </c>
      <c r="H127" s="19" t="s">
        <v>481</v>
      </c>
      <c r="I127" s="9" t="s">
        <v>34</v>
      </c>
      <c r="J127" s="9" t="s">
        <v>126</v>
      </c>
      <c r="K127" s="16" t="s">
        <v>133</v>
      </c>
      <c r="L127" s="9" t="s">
        <v>23</v>
      </c>
      <c r="M127" s="16"/>
      <c r="N127" s="17">
        <v>264</v>
      </c>
      <c r="O127" s="16" t="s">
        <v>128</v>
      </c>
      <c r="P127" s="8" t="str">
        <f>_xlfn.CONCAT(I127,CHAR(10),
       IF(AND(K127&lt;&gt;"", L127&lt;&gt;""),
          "Situación: " &amp; K127 &amp; CHAR(10) &amp; "Calificación: " &amp; L127 &amp; "%" &amp; CHAR(10),
          IF(K127&lt;&gt;"",
             "Situación: " &amp; K127 &amp; CHAR(10),
             IF(L127&lt;&gt;"",
                "Calificación: " &amp; L127 &amp; "%" &amp; CHAR(10),
                CHAR(10)))),
       "Meses: ", M127, CHAR(10),
       "Score: ", N127, CHAR(10),
       "Banco: ", O127
)</f>
        <v>El próximo año
Situación: NO CALIFICA POR SCORE 
Meses: 
Score: 264
Banco: E</v>
      </c>
      <c r="Q127" s="13"/>
      <c r="S127" t="s">
        <v>24</v>
      </c>
    </row>
    <row r="128" spans="1:19" x14ac:dyDescent="0.25">
      <c r="A128" s="7" t="s">
        <v>482</v>
      </c>
      <c r="B128" s="9" t="s">
        <v>483</v>
      </c>
      <c r="C128" s="9"/>
      <c r="D128" s="18">
        <v>18888777</v>
      </c>
      <c r="E128" s="9"/>
      <c r="F128" s="9"/>
      <c r="G128" s="14" t="s">
        <v>484</v>
      </c>
      <c r="H128" s="19" t="s">
        <v>21</v>
      </c>
      <c r="I128" s="9" t="s">
        <v>22</v>
      </c>
      <c r="J128" s="9" t="s">
        <v>126</v>
      </c>
      <c r="K128" s="16" t="s">
        <v>133</v>
      </c>
      <c r="L128" s="9" t="s">
        <v>23</v>
      </c>
      <c r="M128" s="16"/>
      <c r="N128" s="17">
        <v>308</v>
      </c>
      <c r="O128" s="16" t="s">
        <v>128</v>
      </c>
      <c r="P128" s="8" t="str">
        <f>_xlfn.CONCAT(I128,CHAR(10),
       IF(AND(K128&lt;&gt;"", L128&lt;&gt;""),
          "Situación: " &amp; K128 &amp; CHAR(10) &amp; "Calificación: " &amp; L128 &amp; "%" &amp; CHAR(10),
          IF(K128&lt;&gt;"",
             "Situación: " &amp; K128 &amp; CHAR(10),
             IF(L128&lt;&gt;"",
                "Calificación: " &amp; L128 &amp; "%" &amp; CHAR(10),
                CHAR(10)))),
       "Meses: ", M128, CHAR(10),
       "Score: ", N128, CHAR(10),
       "Banco: ", O128
)</f>
        <v>Para diciembre de este año
Situación: NO CALIFICA POR SCORE 
Meses: 
Score: 308
Banco: E</v>
      </c>
      <c r="Q128" s="13"/>
    </row>
    <row r="129" spans="1:17" x14ac:dyDescent="0.25">
      <c r="A129" s="7" t="s">
        <v>485</v>
      </c>
      <c r="B129" s="9" t="s">
        <v>486</v>
      </c>
      <c r="C129" s="9"/>
      <c r="D129" s="18">
        <v>71462848</v>
      </c>
      <c r="E129" s="9"/>
      <c r="F129" s="9"/>
      <c r="G129" s="14" t="s">
        <v>487</v>
      </c>
      <c r="H129" s="19" t="s">
        <v>21</v>
      </c>
      <c r="I129" s="9" t="s">
        <v>34</v>
      </c>
      <c r="J129" s="9" t="s">
        <v>126</v>
      </c>
      <c r="K129" s="16" t="s">
        <v>133</v>
      </c>
      <c r="L129" s="9" t="s">
        <v>23</v>
      </c>
      <c r="M129" s="16"/>
      <c r="N129" s="17">
        <v>300</v>
      </c>
      <c r="O129" s="16" t="s">
        <v>260</v>
      </c>
      <c r="P129" s="8" t="str">
        <f>_xlfn.CONCAT(I129,CHAR(10),
       IF(AND(K129&lt;&gt;"", L129&lt;&gt;""),
          "Situación: " &amp; K129 &amp; CHAR(10) &amp; "Calificación: " &amp; L129 &amp; "%" &amp; CHAR(10),
          IF(K129&lt;&gt;"",
             "Situación: " &amp; K129 &amp; CHAR(10),
             IF(L129&lt;&gt;"",
                "Calificación: " &amp; L129 &amp; "%" &amp; CHAR(10),
                CHAR(10)))),
       "Meses: ", M129, CHAR(10),
       "Score: ", N129, CHAR(10),
       "Banco: ", O129
)</f>
        <v>El próximo año
Situación: NO CALIFICA POR SCORE 
Meses: 
Score: 300
Banco: D</v>
      </c>
      <c r="Q129" s="13"/>
    </row>
    <row r="130" spans="1:17" x14ac:dyDescent="0.25">
      <c r="A130" s="7" t="s">
        <v>488</v>
      </c>
      <c r="B130" s="9" t="s">
        <v>489</v>
      </c>
      <c r="C130" s="9"/>
      <c r="D130" s="18">
        <v>99999999</v>
      </c>
      <c r="E130" s="9"/>
      <c r="F130" s="9"/>
      <c r="G130" s="14" t="s">
        <v>490</v>
      </c>
      <c r="H130" s="19" t="s">
        <v>21</v>
      </c>
      <c r="I130" s="9" t="s">
        <v>29</v>
      </c>
      <c r="J130" s="9"/>
      <c r="K130" s="16" t="s">
        <v>401</v>
      </c>
      <c r="L130" s="9" t="s">
        <v>23</v>
      </c>
      <c r="M130" s="16"/>
      <c r="N130" s="16" t="s">
        <v>402</v>
      </c>
      <c r="O130" s="16" t="s">
        <v>402</v>
      </c>
      <c r="P130" s="8" t="str">
        <f>_xlfn.CONCAT(I130,CHAR(10),
       IF(AND(K130&lt;&gt;"", L130&lt;&gt;""),
          "Situación: " &amp; K130 &amp; CHAR(10) &amp; "Calificación: " &amp; L130 &amp; "%" &amp; CHAR(10),
          IF(K130&lt;&gt;"",
             "Situación: " &amp; K130 &amp; CHAR(10),
             IF(L130&lt;&gt;"",
                "Calificación: " &amp; L130 &amp; "%" &amp; CHAR(10),
                CHAR(10)))),
       "Meses: ", M130, CHAR(10),
       "Score: ", N130, CHAR(10),
       "Banco: ", O130
)</f>
        <v>Lo mas pronto
Situación: DNI NO VALIDO
Meses: 
Score: -
Banco: -</v>
      </c>
      <c r="Q130" s="13"/>
    </row>
    <row r="131" spans="1:17" x14ac:dyDescent="0.25">
      <c r="A131" s="7" t="s">
        <v>491</v>
      </c>
      <c r="B131" s="9" t="s">
        <v>492</v>
      </c>
      <c r="C131" s="9"/>
      <c r="D131" s="18">
        <v>72895663</v>
      </c>
      <c r="E131" s="9"/>
      <c r="F131" s="9"/>
      <c r="G131" s="14" t="s">
        <v>493</v>
      </c>
      <c r="H131" s="19" t="s">
        <v>21</v>
      </c>
      <c r="I131" s="9" t="s">
        <v>29</v>
      </c>
      <c r="J131" s="9" t="s">
        <v>126</v>
      </c>
      <c r="K131" s="16" t="s">
        <v>133</v>
      </c>
      <c r="L131" s="9" t="s">
        <v>23</v>
      </c>
      <c r="M131" s="16"/>
      <c r="N131" s="17">
        <v>290</v>
      </c>
      <c r="O131" s="16" t="s">
        <v>128</v>
      </c>
      <c r="P131" s="8" t="str">
        <f>_xlfn.CONCAT(I131,CHAR(10),
       IF(AND(K131&lt;&gt;"", L131&lt;&gt;""),
          "Situación: " &amp; K131 &amp; CHAR(10) &amp; "Calificación: " &amp; L131 &amp; "%" &amp; CHAR(10),
          IF(K131&lt;&gt;"",
             "Situación: " &amp; K131 &amp; CHAR(10),
             IF(L131&lt;&gt;"",
                "Calificación: " &amp; L131 &amp; "%" &amp; CHAR(10),
                CHAR(10)))),
       "Meses: ", M131, CHAR(10),
       "Score: ", N131, CHAR(10),
       "Banco: ", O131
)</f>
        <v>Lo mas pronto
Situación: NO CALIFICA POR SCORE 
Meses: 
Score: 290
Banco: E</v>
      </c>
      <c r="Q131" s="13"/>
    </row>
    <row r="132" spans="1:17" x14ac:dyDescent="0.25">
      <c r="A132" s="7" t="s">
        <v>494</v>
      </c>
      <c r="B132" s="9" t="s">
        <v>495</v>
      </c>
      <c r="C132" s="9"/>
      <c r="D132" s="18">
        <v>18188571</v>
      </c>
      <c r="E132" s="19"/>
      <c r="F132" s="9"/>
      <c r="G132" s="14" t="s">
        <v>496</v>
      </c>
      <c r="H132" s="19" t="s">
        <v>21</v>
      </c>
      <c r="I132" s="9" t="s">
        <v>34</v>
      </c>
      <c r="J132" s="9" t="s">
        <v>156</v>
      </c>
      <c r="K132" s="16"/>
      <c r="L132" s="9">
        <v>20</v>
      </c>
      <c r="M132" s="16">
        <v>9</v>
      </c>
      <c r="N132" s="17">
        <v>336</v>
      </c>
      <c r="O132" s="16" t="s">
        <v>260</v>
      </c>
      <c r="P132" s="8" t="str">
        <f>_xlfn.CONCAT(I132,CHAR(10),
       IF(AND(K132&lt;&gt;"", L132&lt;&gt;""),
          "Situación: " &amp; K132 &amp; CHAR(10) &amp; "Calificación: " &amp; L132 &amp; "%" &amp; CHAR(10),
          IF(K132&lt;&gt;"",
             "Situación: " &amp; K132 &amp; CHAR(10),
             IF(L132&lt;&gt;"",
                "Calificación: " &amp; L132 &amp; "%" &amp; CHAR(10),
                CHAR(10)))),
       "Meses: ", M132, CHAR(10),
       "Score: ", N132, CHAR(10),
       "Banco: ", O132
)</f>
        <v>El próximo año
Calificación: 20%
Meses: 9
Score: 336
Banco: D</v>
      </c>
      <c r="Q132" s="13"/>
    </row>
    <row r="133" spans="1:17" x14ac:dyDescent="0.25">
      <c r="A133" s="7" t="s">
        <v>497</v>
      </c>
      <c r="B133" s="9" t="s">
        <v>498</v>
      </c>
      <c r="C133" s="9"/>
      <c r="D133" s="18">
        <v>71215920</v>
      </c>
      <c r="E133" s="19" t="s">
        <v>499</v>
      </c>
      <c r="F133" s="9"/>
      <c r="G133" s="14" t="s">
        <v>500</v>
      </c>
      <c r="H133" s="19" t="s">
        <v>21</v>
      </c>
      <c r="I133" s="9" t="s">
        <v>34</v>
      </c>
      <c r="J133" s="9" t="s">
        <v>156</v>
      </c>
      <c r="K133" s="16"/>
      <c r="L133" s="9">
        <v>20</v>
      </c>
      <c r="M133" s="16">
        <v>9</v>
      </c>
      <c r="N133" s="17">
        <v>340</v>
      </c>
      <c r="O133" s="16" t="s">
        <v>166</v>
      </c>
      <c r="P133" s="8" t="str">
        <f>_xlfn.CONCAT(I133,CHAR(10),
       IF(AND(K133&lt;&gt;"", L133&lt;&gt;""),
          "Situación: " &amp; K133 &amp; CHAR(10) &amp; "Calificación: " &amp; L133 &amp; "%" &amp; CHAR(10),
          IF(K133&lt;&gt;"",
             "Situación: " &amp; K133 &amp; CHAR(10),
             IF(L133&lt;&gt;"",
                "Calificación: " &amp; L133 &amp; "%" &amp; CHAR(10),
                CHAR(10)))),
       "Meses: ", M133, CHAR(10),
       "Score: ", N133, CHAR(10),
       "Banco: ", O133
)</f>
        <v>El próximo año
Calificación: 20%
Meses: 9
Score: 340
Banco: B</v>
      </c>
      <c r="Q133" s="13"/>
    </row>
    <row r="134" spans="1:17" x14ac:dyDescent="0.25">
      <c r="A134" s="7" t="s">
        <v>501</v>
      </c>
      <c r="B134" s="9" t="s">
        <v>502</v>
      </c>
      <c r="C134" s="9"/>
      <c r="D134" s="18">
        <v>18126884</v>
      </c>
      <c r="E134" s="9"/>
      <c r="F134" s="9"/>
      <c r="G134" s="14" t="s">
        <v>503</v>
      </c>
      <c r="H134" s="19" t="s">
        <v>21</v>
      </c>
      <c r="I134" s="9" t="s">
        <v>34</v>
      </c>
      <c r="J134" s="9" t="s">
        <v>126</v>
      </c>
      <c r="K134" s="16" t="s">
        <v>133</v>
      </c>
      <c r="L134" s="9" t="s">
        <v>23</v>
      </c>
      <c r="M134" s="16"/>
      <c r="N134" s="17">
        <v>307</v>
      </c>
      <c r="O134" s="16" t="s">
        <v>260</v>
      </c>
      <c r="P134" s="8" t="str">
        <f>_xlfn.CONCAT(I134,CHAR(10),
       IF(AND(K134&lt;&gt;"", L134&lt;&gt;""),
          "Situación: " &amp; K134 &amp; CHAR(10) &amp; "Calificación: " &amp; L134 &amp; "%" &amp; CHAR(10),
          IF(K134&lt;&gt;"",
             "Situación: " &amp; K134 &amp; CHAR(10),
             IF(L134&lt;&gt;"",
                "Calificación: " &amp; L134 &amp; "%" &amp; CHAR(10),
                CHAR(10)))),
       "Meses: ", M134, CHAR(10),
       "Score: ", N134, CHAR(10),
       "Banco: ", O134
)</f>
        <v>El próximo año
Situación: NO CALIFICA POR SCORE 
Meses: 
Score: 307
Banco: D</v>
      </c>
      <c r="Q134" s="13"/>
    </row>
    <row r="135" spans="1:17" x14ac:dyDescent="0.25">
      <c r="A135" s="7" t="s">
        <v>504</v>
      </c>
      <c r="B135" s="9" t="s">
        <v>505</v>
      </c>
      <c r="C135" s="9"/>
      <c r="D135" s="18">
        <v>72965299</v>
      </c>
      <c r="E135" s="19" t="s">
        <v>506</v>
      </c>
      <c r="F135" s="9"/>
      <c r="G135" s="14" t="s">
        <v>507</v>
      </c>
      <c r="H135" s="19" t="s">
        <v>21</v>
      </c>
      <c r="I135" s="9" t="s">
        <v>34</v>
      </c>
      <c r="J135" s="9" t="s">
        <v>156</v>
      </c>
      <c r="K135" s="16"/>
      <c r="L135" s="9">
        <v>10</v>
      </c>
      <c r="M135" s="16">
        <v>6</v>
      </c>
      <c r="N135" s="17">
        <v>389</v>
      </c>
      <c r="O135" s="16" t="s">
        <v>260</v>
      </c>
      <c r="P135" s="8" t="str">
        <f>_xlfn.CONCAT(I135,CHAR(10),
       IF(AND(K135&lt;&gt;"", L135&lt;&gt;""),
          "Situación: " &amp; K135 &amp; CHAR(10) &amp; "Calificación: " &amp; L135 &amp; "%" &amp; CHAR(10),
          IF(K135&lt;&gt;"",
             "Situación: " &amp; K135 &amp; CHAR(10),
             IF(L135&lt;&gt;"",
                "Calificación: " &amp; L135 &amp; "%" &amp; CHAR(10),
                CHAR(10)))),
       "Meses: ", M135, CHAR(10),
       "Score: ", N135, CHAR(10),
       "Banco: ", O135
)</f>
        <v>El próximo año
Calificación: 10%
Meses: 6
Score: 389
Banco: D</v>
      </c>
      <c r="Q135" s="13"/>
    </row>
    <row r="136" spans="1:17" x14ac:dyDescent="0.25">
      <c r="A136" s="7" t="s">
        <v>508</v>
      </c>
      <c r="B136" s="9" t="s">
        <v>509</v>
      </c>
      <c r="C136" s="9"/>
      <c r="D136" s="18">
        <v>70816236</v>
      </c>
      <c r="E136" s="19" t="s">
        <v>510</v>
      </c>
      <c r="F136" s="9"/>
      <c r="G136" s="14" t="s">
        <v>511</v>
      </c>
      <c r="H136" s="19" t="s">
        <v>21</v>
      </c>
      <c r="I136" s="9" t="s">
        <v>34</v>
      </c>
      <c r="J136" s="9" t="s">
        <v>126</v>
      </c>
      <c r="K136" s="16" t="s">
        <v>133</v>
      </c>
      <c r="L136" s="9" t="s">
        <v>23</v>
      </c>
      <c r="M136" s="16"/>
      <c r="N136" s="17">
        <v>283</v>
      </c>
      <c r="O136" s="16" t="s">
        <v>128</v>
      </c>
      <c r="P136" s="8" t="str">
        <f>_xlfn.CONCAT(I136,CHAR(10),
       IF(AND(K136&lt;&gt;"", L136&lt;&gt;""),
          "Situación: " &amp; K136 &amp; CHAR(10) &amp; "Calificación: " &amp; L136 &amp; "%" &amp; CHAR(10),
          IF(K136&lt;&gt;"",
             "Situación: " &amp; K136 &amp; CHAR(10),
             IF(L136&lt;&gt;"",
                "Calificación: " &amp; L136 &amp; "%" &amp; CHAR(10),
                CHAR(10)))),
       "Meses: ", M136, CHAR(10),
       "Score: ", N136, CHAR(10),
       "Banco: ", O136
)</f>
        <v>El próximo año
Situación: NO CALIFICA POR SCORE 
Meses: 
Score: 283
Banco: E</v>
      </c>
      <c r="Q136" s="13"/>
    </row>
    <row r="137" spans="1:17" x14ac:dyDescent="0.25">
      <c r="A137" s="7" t="s">
        <v>512</v>
      </c>
      <c r="B137" s="9" t="s">
        <v>513</v>
      </c>
      <c r="C137" s="9"/>
      <c r="D137" s="18">
        <v>72860900</v>
      </c>
      <c r="E137" s="19" t="s">
        <v>514</v>
      </c>
      <c r="F137" s="9"/>
      <c r="G137" s="14" t="s">
        <v>515</v>
      </c>
      <c r="H137" s="19" t="s">
        <v>21</v>
      </c>
      <c r="I137" s="9" t="s">
        <v>34</v>
      </c>
      <c r="J137" s="9" t="s">
        <v>156</v>
      </c>
      <c r="K137" s="16"/>
      <c r="L137" s="9">
        <v>10</v>
      </c>
      <c r="M137" s="16">
        <v>6</v>
      </c>
      <c r="N137" s="17">
        <v>492</v>
      </c>
      <c r="O137" s="16" t="s">
        <v>229</v>
      </c>
      <c r="P137" s="8" t="str">
        <f>_xlfn.CONCAT(I137,CHAR(10),
       IF(AND(K137&lt;&gt;"", L137&lt;&gt;""),
          "Situación: " &amp; K137 &amp; CHAR(10) &amp; "Calificación: " &amp; L137 &amp; "%" &amp; CHAR(10),
          IF(K137&lt;&gt;"",
             "Situación: " &amp; K137 &amp; CHAR(10),
             IF(L137&lt;&gt;"",
                "Calificación: " &amp; L137 &amp; "%" &amp; CHAR(10),
                CHAR(10)))),
       "Meses: ", M137, CHAR(10),
       "Score: ", N137, CHAR(10),
       "Banco: ", O137
)</f>
        <v>El próximo año
Calificación: 10%
Meses: 6
Score: 492
Banco: A</v>
      </c>
      <c r="Q137" s="13"/>
    </row>
    <row r="138" spans="1:17" x14ac:dyDescent="0.25">
      <c r="A138" s="7" t="s">
        <v>516</v>
      </c>
      <c r="B138" s="9" t="s">
        <v>517</v>
      </c>
      <c r="C138" s="9"/>
      <c r="D138" s="18">
        <v>73958409</v>
      </c>
      <c r="E138" s="19" t="s">
        <v>518</v>
      </c>
      <c r="F138" s="9"/>
      <c r="G138" s="14" t="s">
        <v>519</v>
      </c>
      <c r="H138" s="19" t="s">
        <v>21</v>
      </c>
      <c r="I138" s="9" t="s">
        <v>34</v>
      </c>
      <c r="J138" s="9" t="s">
        <v>126</v>
      </c>
      <c r="K138" s="16" t="s">
        <v>133</v>
      </c>
      <c r="L138" s="9" t="s">
        <v>23</v>
      </c>
      <c r="M138" s="16"/>
      <c r="N138" s="17">
        <v>308</v>
      </c>
      <c r="O138" s="16" t="s">
        <v>128</v>
      </c>
      <c r="P138" s="8" t="str">
        <f>_xlfn.CONCAT(I138,CHAR(10),
       IF(AND(K138&lt;&gt;"", L138&lt;&gt;""),
          "Situación: " &amp; K138 &amp; CHAR(10) &amp; "Calificación: " &amp; L138 &amp; "%" &amp; CHAR(10),
          IF(K138&lt;&gt;"",
             "Situación: " &amp; K138 &amp; CHAR(10),
             IF(L138&lt;&gt;"",
                "Calificación: " &amp; L138 &amp; "%" &amp; CHAR(10),
                CHAR(10)))),
       "Meses: ", M138, CHAR(10),
       "Score: ", N138, CHAR(10),
       "Banco: ", O138
)</f>
        <v>El próximo año
Situación: NO CALIFICA POR SCORE 
Meses: 
Score: 308
Banco: E</v>
      </c>
      <c r="Q138" s="13"/>
    </row>
    <row r="139" spans="1:17" x14ac:dyDescent="0.25">
      <c r="A139" s="7" t="s">
        <v>520</v>
      </c>
      <c r="B139" s="9" t="s">
        <v>521</v>
      </c>
      <c r="C139" s="9"/>
      <c r="D139" s="18">
        <v>47829537</v>
      </c>
      <c r="E139" s="19" t="s">
        <v>522</v>
      </c>
      <c r="F139" s="9"/>
      <c r="G139" s="14" t="s">
        <v>523</v>
      </c>
      <c r="H139" s="19" t="s">
        <v>21</v>
      </c>
      <c r="I139" s="9" t="s">
        <v>34</v>
      </c>
      <c r="J139" s="9" t="s">
        <v>156</v>
      </c>
      <c r="K139" s="16"/>
      <c r="L139" s="9">
        <v>20</v>
      </c>
      <c r="M139" s="16">
        <v>9</v>
      </c>
      <c r="N139" s="17">
        <v>343</v>
      </c>
      <c r="O139" s="16" t="s">
        <v>138</v>
      </c>
      <c r="P139" s="8" t="str">
        <f>_xlfn.CONCAT(I139,CHAR(10),
       IF(AND(K139&lt;&gt;"", L139&lt;&gt;""),
          "Situación: " &amp; K139 &amp; CHAR(10) &amp; "Calificación: " &amp; L139 &amp; "%" &amp; CHAR(10),
          IF(K139&lt;&gt;"",
             "Situación: " &amp; K139 &amp; CHAR(10),
             IF(L139&lt;&gt;"",
                "Calificación: " &amp; L139 &amp; "%" &amp; CHAR(10),
                CHAR(10)))),
       "Meses: ", M139, CHAR(10),
       "Score: ", N139, CHAR(10),
       "Banco: ", O139
)</f>
        <v>El próximo año
Calificación: 20%
Meses: 9
Score: 343
Banco: C</v>
      </c>
      <c r="Q139" s="13"/>
    </row>
    <row r="140" spans="1:17" x14ac:dyDescent="0.25">
      <c r="A140" s="7" t="s">
        <v>524</v>
      </c>
      <c r="B140" s="9" t="s">
        <v>525</v>
      </c>
      <c r="C140" s="9"/>
      <c r="D140" s="18">
        <v>45436269</v>
      </c>
      <c r="E140" s="19" t="s">
        <v>526</v>
      </c>
      <c r="F140" s="9"/>
      <c r="G140" s="14" t="s">
        <v>527</v>
      </c>
      <c r="H140" s="19" t="s">
        <v>21</v>
      </c>
      <c r="I140" s="9" t="s">
        <v>34</v>
      </c>
      <c r="J140" s="9" t="s">
        <v>156</v>
      </c>
      <c r="K140" s="16"/>
      <c r="L140" s="9">
        <v>20</v>
      </c>
      <c r="M140" s="16">
        <v>9</v>
      </c>
      <c r="N140" s="17">
        <v>356</v>
      </c>
      <c r="O140" s="16" t="s">
        <v>138</v>
      </c>
      <c r="P140" s="8" t="str">
        <f>_xlfn.CONCAT(I140,CHAR(10),
       IF(AND(K140&lt;&gt;"", L140&lt;&gt;""),
          "Situación: " &amp; K140 &amp; CHAR(10) &amp; "Calificación: " &amp; L140 &amp; "%" &amp; CHAR(10),
          IF(K140&lt;&gt;"",
             "Situación: " &amp; K140 &amp; CHAR(10),
             IF(L140&lt;&gt;"",
                "Calificación: " &amp; L140 &amp; "%" &amp; CHAR(10),
                CHAR(10)))),
       "Meses: ", M140, CHAR(10),
       "Score: ", N140, CHAR(10),
       "Banco: ", O140
)</f>
        <v>El próximo año
Calificación: 20%
Meses: 9
Score: 356
Banco: C</v>
      </c>
      <c r="Q140" s="13"/>
    </row>
    <row r="141" spans="1:17" x14ac:dyDescent="0.25">
      <c r="A141" s="7" t="s">
        <v>528</v>
      </c>
      <c r="B141" s="9" t="s">
        <v>529</v>
      </c>
      <c r="C141" s="9"/>
      <c r="D141" s="18">
        <v>71296612</v>
      </c>
      <c r="E141" s="19" t="s">
        <v>530</v>
      </c>
      <c r="F141" s="9"/>
      <c r="G141" s="14" t="s">
        <v>531</v>
      </c>
      <c r="H141" s="19" t="s">
        <v>21</v>
      </c>
      <c r="I141" s="9" t="s">
        <v>34</v>
      </c>
      <c r="J141" s="9" t="s">
        <v>126</v>
      </c>
      <c r="K141" s="16" t="s">
        <v>133</v>
      </c>
      <c r="L141" s="9" t="s">
        <v>23</v>
      </c>
      <c r="M141" s="16"/>
      <c r="N141" s="17">
        <v>302</v>
      </c>
      <c r="O141" s="16" t="s">
        <v>260</v>
      </c>
      <c r="P141" s="8" t="str">
        <f>_xlfn.CONCAT(I141,CHAR(10),
       IF(AND(K141&lt;&gt;"", L141&lt;&gt;""),
          "Situación: " &amp; K141 &amp; CHAR(10) &amp; "Calificación: " &amp; L141 &amp; "%" &amp; CHAR(10),
          IF(K141&lt;&gt;"",
             "Situación: " &amp; K141 &amp; CHAR(10),
             IF(L141&lt;&gt;"",
                "Calificación: " &amp; L141 &amp; "%" &amp; CHAR(10),
                CHAR(10)))),
       "Meses: ", M141, CHAR(10),
       "Score: ", N141, CHAR(10),
       "Banco: ", O141
)</f>
        <v>El próximo año
Situación: NO CALIFICA POR SCORE 
Meses: 
Score: 302
Banco: D</v>
      </c>
      <c r="Q141" s="13"/>
    </row>
    <row r="142" spans="1:17" x14ac:dyDescent="0.25">
      <c r="A142" s="7" t="s">
        <v>532</v>
      </c>
      <c r="B142" s="9" t="s">
        <v>533</v>
      </c>
      <c r="C142" s="9"/>
      <c r="D142" s="18">
        <v>73266920</v>
      </c>
      <c r="E142" s="19" t="s">
        <v>534</v>
      </c>
      <c r="F142" s="9"/>
      <c r="G142" s="14" t="s">
        <v>535</v>
      </c>
      <c r="H142" s="19" t="s">
        <v>346</v>
      </c>
      <c r="I142" s="9" t="s">
        <v>34</v>
      </c>
      <c r="J142" s="9" t="s">
        <v>126</v>
      </c>
      <c r="K142" s="16" t="s">
        <v>133</v>
      </c>
      <c r="L142" s="9" t="s">
        <v>23</v>
      </c>
      <c r="M142" s="16"/>
      <c r="N142" s="17">
        <v>269</v>
      </c>
      <c r="O142" s="16" t="s">
        <v>128</v>
      </c>
      <c r="P142" s="8" t="str">
        <f>_xlfn.CONCAT(I142,CHAR(10),
       IF(AND(K142&lt;&gt;"", L142&lt;&gt;""),
          "Situación: " &amp; K142 &amp; CHAR(10) &amp; "Calificación: " &amp; L142 &amp; "%" &amp; CHAR(10),
          IF(K142&lt;&gt;"",
             "Situación: " &amp; K142 &amp; CHAR(10),
             IF(L142&lt;&gt;"",
                "Calificación: " &amp; L142 &amp; "%" &amp; CHAR(10),
                CHAR(10)))),
       "Meses: ", M142, CHAR(10),
       "Score: ", N142, CHAR(10),
       "Banco: ", O142
)</f>
        <v>El próximo año
Situación: NO CALIFICA POR SCORE 
Meses: 
Score: 269
Banco: E</v>
      </c>
      <c r="Q142" s="13"/>
    </row>
    <row r="143" spans="1:17" x14ac:dyDescent="0.25">
      <c r="A143" s="7" t="s">
        <v>536</v>
      </c>
      <c r="B143" s="9" t="s">
        <v>537</v>
      </c>
      <c r="C143" s="9"/>
      <c r="D143" s="18">
        <v>73364353</v>
      </c>
      <c r="E143" s="19" t="s">
        <v>538</v>
      </c>
      <c r="F143" s="9"/>
      <c r="G143" s="14" t="s">
        <v>539</v>
      </c>
      <c r="H143" s="19" t="s">
        <v>21</v>
      </c>
      <c r="I143" s="9" t="s">
        <v>29</v>
      </c>
      <c r="J143" s="9" t="s">
        <v>126</v>
      </c>
      <c r="K143" s="16" t="s">
        <v>127</v>
      </c>
      <c r="L143" s="9" t="s">
        <v>23</v>
      </c>
      <c r="M143" s="16"/>
      <c r="N143" s="17">
        <v>261</v>
      </c>
      <c r="O143" s="16" t="s">
        <v>128</v>
      </c>
      <c r="P143" s="8" t="str">
        <f>_xlfn.CONCAT(I143,CHAR(10),
       IF(AND(K143&lt;&gt;"", L143&lt;&gt;""),
          "Situación: " &amp; K143 &amp; CHAR(10) &amp; "Calificación: " &amp; L143 &amp; "%" &amp; CHAR(10),
          IF(K143&lt;&gt;"",
             "Situación: " &amp; K143 &amp; CHAR(10),
             IF(L143&lt;&gt;"",
                "Calificación: " &amp; L143 &amp; "%" &amp; CHAR(10),
                CHAR(10)))),
       "Meses: ", M143, CHAR(10),
       "Score: ", N143, CHAR(10),
       "Banco: ", O143
)</f>
        <v>Lo mas pronto
Situación: BAJO SCORE / MAL SBS 
Meses: 
Score: 261
Banco: E</v>
      </c>
      <c r="Q143" s="13"/>
    </row>
    <row r="144" spans="1:17" x14ac:dyDescent="0.25">
      <c r="A144" s="7" t="s">
        <v>540</v>
      </c>
      <c r="B144" s="9" t="s">
        <v>541</v>
      </c>
      <c r="C144" s="9"/>
      <c r="D144" s="18">
        <v>18840590</v>
      </c>
      <c r="E144" s="19" t="s">
        <v>542</v>
      </c>
      <c r="F144" s="9"/>
      <c r="G144" s="14" t="s">
        <v>543</v>
      </c>
      <c r="H144" s="19" t="s">
        <v>21</v>
      </c>
      <c r="I144" s="9" t="s">
        <v>34</v>
      </c>
      <c r="J144" s="9" t="s">
        <v>156</v>
      </c>
      <c r="K144" s="16"/>
      <c r="L144" s="9">
        <v>10</v>
      </c>
      <c r="M144" s="16">
        <v>6</v>
      </c>
      <c r="N144" s="17">
        <v>449</v>
      </c>
      <c r="O144" s="16" t="s">
        <v>166</v>
      </c>
      <c r="P144" s="8" t="str">
        <f>_xlfn.CONCAT(I144,CHAR(10),
       IF(AND(K144&lt;&gt;"", L144&lt;&gt;""),
          "Situación: " &amp; K144 &amp; CHAR(10) &amp; "Calificación: " &amp; L144 &amp; "%" &amp; CHAR(10),
          IF(K144&lt;&gt;"",
             "Situación: " &amp; K144 &amp; CHAR(10),
             IF(L144&lt;&gt;"",
                "Calificación: " &amp; L144 &amp; "%" &amp; CHAR(10),
                CHAR(10)))),
       "Meses: ", M144, CHAR(10),
       "Score: ", N144, CHAR(10),
       "Banco: ", O144
)</f>
        <v>El próximo año
Calificación: 10%
Meses: 6
Score: 449
Banco: B</v>
      </c>
      <c r="Q144" s="13"/>
    </row>
    <row r="145" spans="1:17" x14ac:dyDescent="0.25">
      <c r="A145" s="7" t="s">
        <v>544</v>
      </c>
      <c r="B145" s="9" t="s">
        <v>545</v>
      </c>
      <c r="C145" s="9"/>
      <c r="D145" s="18">
        <v>74982547</v>
      </c>
      <c r="E145" s="19" t="s">
        <v>546</v>
      </c>
      <c r="F145" s="9"/>
      <c r="G145" s="14" t="s">
        <v>547</v>
      </c>
      <c r="H145" s="19" t="s">
        <v>21</v>
      </c>
      <c r="I145" s="9" t="s">
        <v>34</v>
      </c>
      <c r="J145" s="9" t="s">
        <v>164</v>
      </c>
      <c r="K145" s="16" t="s">
        <v>200</v>
      </c>
      <c r="L145" s="9" t="s">
        <v>23</v>
      </c>
      <c r="M145" s="16"/>
      <c r="N145" s="17">
        <v>360</v>
      </c>
      <c r="O145" s="16" t="s">
        <v>128</v>
      </c>
      <c r="P145" s="8" t="str">
        <f>_xlfn.CONCAT(I145,CHAR(10),
       IF(AND(K145&lt;&gt;"", L145&lt;&gt;""),
          "Situación: " &amp; K145 &amp; CHAR(10) &amp; "Calificación: " &amp; L145 &amp; "%" &amp; CHAR(10),
          IF(K145&lt;&gt;"",
             "Situación: " &amp; K145 &amp; CHAR(10),
             IF(L145&lt;&gt;"",
                "Calificación: " &amp; L145 &amp; "%" &amp; CHAR(10),
                CHAR(10)))),
       "Meses: ", M145, CHAR(10),
       "Score: ", N145, CHAR(10),
       "Banco: ", O145
)</f>
        <v>El próximo año
Situación: MAL SBS 
Meses: 
Score: 360
Banco: E</v>
      </c>
      <c r="Q145" s="13"/>
    </row>
    <row r="146" spans="1:17" x14ac:dyDescent="0.25">
      <c r="A146" s="7" t="s">
        <v>548</v>
      </c>
      <c r="B146" s="9" t="s">
        <v>549</v>
      </c>
      <c r="C146" s="9"/>
      <c r="D146" s="18">
        <v>76847845</v>
      </c>
      <c r="E146" s="19" t="s">
        <v>550</v>
      </c>
      <c r="F146" s="9"/>
      <c r="G146" s="14" t="s">
        <v>551</v>
      </c>
      <c r="H146" s="19" t="s">
        <v>21</v>
      </c>
      <c r="I146" s="9" t="s">
        <v>34</v>
      </c>
      <c r="J146" s="9" t="s">
        <v>156</v>
      </c>
      <c r="K146" s="16"/>
      <c r="L146" s="9">
        <v>10</v>
      </c>
      <c r="M146" s="16">
        <v>6</v>
      </c>
      <c r="N146" s="17">
        <v>405</v>
      </c>
      <c r="O146" s="16" t="s">
        <v>166</v>
      </c>
      <c r="P146" s="8" t="str">
        <f>_xlfn.CONCAT(I146,CHAR(10),
       IF(AND(K146&lt;&gt;"", L146&lt;&gt;""),
          "Situación: " &amp; K146 &amp; CHAR(10) &amp; "Calificación: " &amp; L146 &amp; "%" &amp; CHAR(10),
          IF(K146&lt;&gt;"",
             "Situación: " &amp; K146 &amp; CHAR(10),
             IF(L146&lt;&gt;"",
                "Calificación: " &amp; L146 &amp; "%" &amp; CHAR(10),
                CHAR(10)))),
       "Meses: ", M146, CHAR(10),
       "Score: ", N146, CHAR(10),
       "Banco: ", O146
)</f>
        <v>El próximo año
Calificación: 10%
Meses: 6
Score: 405
Banco: B</v>
      </c>
      <c r="Q146" s="13"/>
    </row>
    <row r="147" spans="1:17" x14ac:dyDescent="0.25">
      <c r="A147" s="24" t="s">
        <v>552</v>
      </c>
      <c r="B147" s="25" t="s">
        <v>553</v>
      </c>
      <c r="C147" s="25"/>
      <c r="D147" s="26">
        <v>72714881</v>
      </c>
      <c r="E147" s="27" t="s">
        <v>554</v>
      </c>
      <c r="F147" s="25"/>
      <c r="G147" s="28" t="s">
        <v>555</v>
      </c>
      <c r="H147" s="27" t="s">
        <v>21</v>
      </c>
      <c r="I147" s="25" t="s">
        <v>29</v>
      </c>
      <c r="J147" s="25" t="s">
        <v>156</v>
      </c>
      <c r="K147" s="29"/>
      <c r="L147" s="25">
        <v>20</v>
      </c>
      <c r="M147" s="29">
        <v>9</v>
      </c>
      <c r="N147" s="30">
        <v>407</v>
      </c>
      <c r="O147" s="29" t="s">
        <v>128</v>
      </c>
      <c r="P147" s="31" t="str">
        <f>_xlfn.CONCAT(I147,CHAR(10),
       IF(AND(K147&lt;&gt;"", L147&lt;&gt;""),
          "Situación: " &amp; K147 &amp; CHAR(10) &amp; "Calificación: " &amp; L147 &amp; "%" &amp; CHAR(10),
          IF(K147&lt;&gt;"",
             "Situación: " &amp; K147 &amp; CHAR(10),
             IF(L147&lt;&gt;"",
                "Calificación: " &amp; L147 &amp; "%" &amp; CHAR(10),
                CHAR(10)))),
       "Meses: ", M147, CHAR(10),
       "Score: ", N147, CHAR(10),
       "Banco: ", O147
)</f>
        <v>Lo mas pronto
Calificación: 20%
Meses: 9
Score: 407
Banco: E</v>
      </c>
      <c r="Q147" s="32"/>
    </row>
    <row r="148" spans="1:17" x14ac:dyDescent="0.25">
      <c r="G148"/>
      <c r="P148"/>
    </row>
    <row r="149" spans="1:17" x14ac:dyDescent="0.25">
      <c r="G149"/>
      <c r="P149"/>
    </row>
    <row r="150" spans="1:17" x14ac:dyDescent="0.25">
      <c r="G150"/>
      <c r="P150"/>
    </row>
    <row r="151" spans="1:17" x14ac:dyDescent="0.25">
      <c r="G151"/>
      <c r="P151"/>
    </row>
    <row r="152" spans="1:17" x14ac:dyDescent="0.25">
      <c r="G152"/>
      <c r="P152"/>
    </row>
    <row r="154" spans="1:17" x14ac:dyDescent="0.25">
      <c r="B154" s="21"/>
      <c r="C154" s="21"/>
    </row>
    <row r="155" spans="1:17" x14ac:dyDescent="0.25">
      <c r="B155" s="21"/>
      <c r="C155" s="21"/>
    </row>
    <row r="156" spans="1:17" x14ac:dyDescent="0.25">
      <c r="B156" s="21"/>
      <c r="C156" s="21"/>
    </row>
    <row r="157" spans="1:17" x14ac:dyDescent="0.25">
      <c r="B157" s="21"/>
    </row>
    <row r="158" spans="1:17" x14ac:dyDescent="0.25">
      <c r="B158" s="21"/>
      <c r="C158" s="21"/>
    </row>
    <row r="162" spans="2:3" x14ac:dyDescent="0.25">
      <c r="B162" s="21"/>
      <c r="C162" s="21"/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758CE-3B69-4D83-BB75-FE4AC827123B}">
  <dimension ref="A1:Q113"/>
  <sheetViews>
    <sheetView zoomScale="85" zoomScaleNormal="85" workbookViewId="0">
      <selection activeCell="F15" sqref="F15"/>
    </sheetView>
  </sheetViews>
  <sheetFormatPr baseColWidth="10" defaultRowHeight="15" x14ac:dyDescent="0.25"/>
  <cols>
    <col min="1" max="1" width="11.42578125" style="51" bestFit="1" customWidth="1"/>
    <col min="2" max="2" width="16" customWidth="1"/>
    <col min="3" max="3" width="11.7109375" bestFit="1" customWidth="1"/>
    <col min="4" max="4" width="15.28515625" customWidth="1"/>
    <col min="5" max="5" width="9.28515625" bestFit="1" customWidth="1"/>
    <col min="6" max="6" width="11.28515625" bestFit="1" customWidth="1"/>
    <col min="7" max="7" width="14.7109375" style="52" bestFit="1" customWidth="1"/>
    <col min="8" max="8" width="12.85546875" bestFit="1" customWidth="1"/>
    <col min="9" max="9" width="19.7109375" customWidth="1"/>
    <col min="10" max="10" width="29" bestFit="1" customWidth="1"/>
    <col min="12" max="12" width="23.140625" bestFit="1" customWidth="1"/>
    <col min="15" max="15" width="22.7109375" bestFit="1" customWidth="1"/>
    <col min="16" max="16" width="11.5703125" bestFit="1" customWidth="1"/>
    <col min="19" max="19" width="13" customWidth="1"/>
  </cols>
  <sheetData>
    <row r="1" spans="1:17" s="34" customFormat="1" x14ac:dyDescent="0.25">
      <c r="A1" s="35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7" t="s">
        <v>6</v>
      </c>
      <c r="H1" s="36" t="s">
        <v>7</v>
      </c>
      <c r="I1" s="36" t="s">
        <v>556</v>
      </c>
      <c r="J1" s="36" t="s">
        <v>9</v>
      </c>
      <c r="K1" s="36" t="s">
        <v>557</v>
      </c>
      <c r="L1" s="36" t="s">
        <v>12</v>
      </c>
      <c r="M1" s="36" t="s">
        <v>13</v>
      </c>
      <c r="N1" s="36" t="s">
        <v>14</v>
      </c>
      <c r="O1" s="36" t="s">
        <v>10</v>
      </c>
      <c r="P1" s="36" t="s">
        <v>8</v>
      </c>
      <c r="Q1" s="38" t="s">
        <v>16</v>
      </c>
    </row>
    <row r="2" spans="1:17" x14ac:dyDescent="0.25">
      <c r="A2" s="39">
        <v>45601.685682870368</v>
      </c>
      <c r="B2" s="40" t="s">
        <v>558</v>
      </c>
      <c r="C2" s="41"/>
      <c r="D2" s="42">
        <v>73330210</v>
      </c>
      <c r="E2" s="19"/>
      <c r="F2" s="41"/>
      <c r="G2" s="43" t="s">
        <v>559</v>
      </c>
      <c r="H2" s="44" t="s">
        <v>21</v>
      </c>
      <c r="I2" s="42" t="str">
        <f>_xlfn.CONCAT(P2,CHAR(10),
       IF(AND(O2&lt;&gt;"", K2&lt;&gt;""),
          "Situación: " &amp; O2 &amp; CHAR(10) &amp; "Calificación: " &amp; K2 &amp; "%" &amp; CHAR(10),
          IF(O2&lt;&gt;"",
             "Situación: " &amp; O2 &amp; CHAR(10),
             IF(K2&lt;&gt;"",
                "Calificación: " &amp; K2 &amp; "%" &amp; CHAR(10),
                CHAR(10)))),
       "Meses: ", L2, CHAR(10),
       "Score: ", M2, CHAR(10),
       "Banco: ", N2
)</f>
        <v>El próximo año
Situación: NO CALIFICA POR SCORE
Meses: 
Score: 280
Banco: E</v>
      </c>
      <c r="J2" s="41" t="s">
        <v>126</v>
      </c>
      <c r="K2" s="19"/>
      <c r="L2" s="40"/>
      <c r="M2" s="40">
        <v>280</v>
      </c>
      <c r="N2" s="40" t="s">
        <v>128</v>
      </c>
      <c r="O2" s="19" t="s">
        <v>560</v>
      </c>
      <c r="P2" s="19" t="s">
        <v>34</v>
      </c>
      <c r="Q2" s="40" t="s">
        <v>561</v>
      </c>
    </row>
    <row r="3" spans="1:17" x14ac:dyDescent="0.25">
      <c r="A3" s="39">
        <v>45601.652071759258</v>
      </c>
      <c r="B3" s="40" t="s">
        <v>562</v>
      </c>
      <c r="C3" s="41"/>
      <c r="D3" s="42">
        <v>73133627</v>
      </c>
      <c r="E3" s="19"/>
      <c r="F3" s="41"/>
      <c r="G3" s="43" t="s">
        <v>563</v>
      </c>
      <c r="H3" s="44" t="s">
        <v>424</v>
      </c>
      <c r="I3" s="42" t="str">
        <f>_xlfn.CONCAT(P3,CHAR(10),
       IF(AND(O3&lt;&gt;"", K3&lt;&gt;""),
          "Situación: " &amp; O3 &amp; CHAR(10) &amp; "Calificación: " &amp; K3 &amp; "%" &amp; CHAR(10),
          IF(O3&lt;&gt;"",
             "Situación: " &amp; O3 &amp; CHAR(10),
             IF(K3&lt;&gt;"",
                "Calificación: " &amp; K3 &amp; "%" &amp; CHAR(10),
                CHAR(10)))),
       "Meses: ", L3, CHAR(10),
       "Score: ", M3, CHAR(10),
       "Banco: ", N3
)</f>
        <v>El próximo año
Situación: NO CALIFICA POR SCORE
Meses: 
Score: 303
Banco: E</v>
      </c>
      <c r="J3" s="41" t="s">
        <v>126</v>
      </c>
      <c r="K3" s="19"/>
      <c r="L3" s="40"/>
      <c r="M3" s="40">
        <v>303</v>
      </c>
      <c r="N3" s="40" t="s">
        <v>128</v>
      </c>
      <c r="O3" s="19" t="s">
        <v>560</v>
      </c>
      <c r="P3" s="19" t="s">
        <v>34</v>
      </c>
      <c r="Q3" s="40" t="s">
        <v>561</v>
      </c>
    </row>
    <row r="4" spans="1:17" x14ac:dyDescent="0.25">
      <c r="A4" s="39">
        <v>45601.626597222225</v>
      </c>
      <c r="B4" s="40" t="s">
        <v>564</v>
      </c>
      <c r="C4" s="41"/>
      <c r="D4" s="42">
        <v>70799262</v>
      </c>
      <c r="E4" s="19"/>
      <c r="F4" s="41"/>
      <c r="G4" s="43" t="s">
        <v>565</v>
      </c>
      <c r="H4" s="44" t="s">
        <v>21</v>
      </c>
      <c r="I4" s="42" t="str">
        <f>_xlfn.CONCAT(P4,CHAR(10),
       IF(AND(O4&lt;&gt;"", K4&lt;&gt;""),
          "Situación: " &amp; O4 &amp; CHAR(10) &amp; "Calificación: " &amp; K4 &amp; "%" &amp; CHAR(10),
          IF(O4&lt;&gt;"",
             "Situación: " &amp; O4 &amp; CHAR(10),
             IF(K4&lt;&gt;"",
                "Calificación: " &amp; K4 &amp; "%" &amp; CHAR(10),
                CHAR(10)))),
       "Meses: ", L4, CHAR(10),
       "Score: ", M4, CHAR(10),
       "Banco: ", N4
)</f>
        <v>Para diciembre de este año
Calificación: 10%
Meses: 6
Score: 412
Banco: A</v>
      </c>
      <c r="J4" s="41" t="s">
        <v>156</v>
      </c>
      <c r="K4" s="41">
        <v>10</v>
      </c>
      <c r="L4" s="40">
        <v>6</v>
      </c>
      <c r="M4" s="40">
        <v>412</v>
      </c>
      <c r="N4" s="40" t="s">
        <v>229</v>
      </c>
      <c r="O4" s="41"/>
      <c r="P4" s="19" t="s">
        <v>22</v>
      </c>
      <c r="Q4" s="40" t="s">
        <v>561</v>
      </c>
    </row>
    <row r="5" spans="1:17" x14ac:dyDescent="0.25">
      <c r="A5" s="39">
        <v>45601.626597222225</v>
      </c>
      <c r="B5" s="40" t="s">
        <v>566</v>
      </c>
      <c r="C5" s="41"/>
      <c r="D5" s="42">
        <v>47848929</v>
      </c>
      <c r="E5" s="19"/>
      <c r="F5" s="40"/>
      <c r="G5" s="43" t="s">
        <v>567</v>
      </c>
      <c r="H5" s="19"/>
      <c r="I5" s="42" t="str">
        <f>_xlfn.CONCAT(P5,CHAR(10),
       IF(AND(O5&lt;&gt;"", K5&lt;&gt;""),
          "Situación: " &amp; O5 &amp; CHAR(10) &amp; "Calificación: " &amp; K5 &amp; "%" &amp; CHAR(10),
          IF(O5&lt;&gt;"",
             "Situación: " &amp; O5 &amp; CHAR(10),
             IF(K5&lt;&gt;"",
                "Calificación: " &amp; K5 &amp; "%" &amp; CHAR(10),
                CHAR(10)))),
       "Meses: ", L5, CHAR(10),
       "Score: ", M5, CHAR(10),
       "Banco: ", N5
)</f>
        <v>De WhatsApp
Calificación: 20%
Meses: 9
Score: 342
Banco: D</v>
      </c>
      <c r="J5" s="41" t="s">
        <v>156</v>
      </c>
      <c r="K5" s="41">
        <v>20</v>
      </c>
      <c r="L5" s="40">
        <v>9</v>
      </c>
      <c r="M5" s="40">
        <v>342</v>
      </c>
      <c r="N5" s="40" t="s">
        <v>260</v>
      </c>
      <c r="O5" s="41"/>
      <c r="P5" s="41" t="s">
        <v>568</v>
      </c>
      <c r="Q5" s="40" t="s">
        <v>561</v>
      </c>
    </row>
    <row r="6" spans="1:17" x14ac:dyDescent="0.25">
      <c r="A6" s="39">
        <v>45601.626597222225</v>
      </c>
      <c r="B6" s="40" t="s">
        <v>569</v>
      </c>
      <c r="C6" s="41"/>
      <c r="D6" s="42">
        <v>18216485</v>
      </c>
      <c r="E6" s="19"/>
      <c r="F6" s="40"/>
      <c r="G6" s="43" t="s">
        <v>570</v>
      </c>
      <c r="H6" s="19"/>
      <c r="I6" s="42" t="str">
        <f>_xlfn.CONCAT(P6,CHAR(10),
       IF(AND(O6&lt;&gt;"", K6&lt;&gt;""),
          "Situación: " &amp; O6 &amp; CHAR(10) &amp; "Calificación: " &amp; K6 &amp; "%" &amp; CHAR(10),
          IF(O6&lt;&gt;"",
             "Situación: " &amp; O6 &amp; CHAR(10),
             IF(K6&lt;&gt;"",
                "Calificación: " &amp; K6 &amp; "%" &amp; CHAR(10),
                CHAR(10)))),
       "Meses: ", L6, CHAR(10),
       "Score: ", M6, CHAR(10),
       "Banco: ", N6
)</f>
        <v>De WhatsApp
Calificación: 10%
Meses: 6
Score: 432
Banco: B</v>
      </c>
      <c r="J6" s="41" t="s">
        <v>156</v>
      </c>
      <c r="K6" s="41">
        <v>10</v>
      </c>
      <c r="L6" s="40">
        <v>6</v>
      </c>
      <c r="M6" s="40">
        <v>432</v>
      </c>
      <c r="N6" s="40" t="s">
        <v>166</v>
      </c>
      <c r="O6" s="41"/>
      <c r="P6" s="41" t="s">
        <v>568</v>
      </c>
      <c r="Q6" s="40" t="s">
        <v>561</v>
      </c>
    </row>
    <row r="7" spans="1:17" x14ac:dyDescent="0.25">
      <c r="A7" s="39">
        <v>45601.626597222225</v>
      </c>
      <c r="B7" s="40" t="s">
        <v>571</v>
      </c>
      <c r="C7" s="41"/>
      <c r="D7" s="42">
        <v>42865170</v>
      </c>
      <c r="E7" s="19"/>
      <c r="F7" s="40"/>
      <c r="G7" s="43" t="s">
        <v>572</v>
      </c>
      <c r="H7" s="19"/>
      <c r="I7" s="42" t="str">
        <f>_xlfn.CONCAT(P7,CHAR(10),
       IF(AND(O7&lt;&gt;"", K7&lt;&gt;""),
          "Situación: " &amp; O7 &amp; CHAR(10) &amp; "Calificación: " &amp; K7 &amp; "%" &amp; CHAR(10),
          IF(O7&lt;&gt;"",
             "Situación: " &amp; O7 &amp; CHAR(10),
             IF(K7&lt;&gt;"",
                "Calificación: " &amp; K7 &amp; "%" &amp; CHAR(10),
                CHAR(10)))),
       "Meses: ", L7, CHAR(10),
       "Score: ", M7, CHAR(10),
       "Banco: ", N7
)</f>
        <v>De WhatsApp
Situación: NO CALIFICA POR SCORE
Meses: 
Score: 308
Banco: E</v>
      </c>
      <c r="J7" s="41" t="s">
        <v>126</v>
      </c>
      <c r="K7" s="19"/>
      <c r="L7" s="40"/>
      <c r="M7" s="40">
        <v>308</v>
      </c>
      <c r="N7" s="40" t="s">
        <v>128</v>
      </c>
      <c r="O7" s="19" t="s">
        <v>560</v>
      </c>
      <c r="P7" s="41" t="s">
        <v>568</v>
      </c>
      <c r="Q7" s="40" t="s">
        <v>561</v>
      </c>
    </row>
    <row r="8" spans="1:17" x14ac:dyDescent="0.25">
      <c r="A8" s="39">
        <v>45601.626597222225</v>
      </c>
      <c r="B8" s="40" t="s">
        <v>573</v>
      </c>
      <c r="C8" s="41"/>
      <c r="D8" s="42">
        <v>43340709</v>
      </c>
      <c r="E8" s="19"/>
      <c r="F8" s="40"/>
      <c r="G8" s="43" t="s">
        <v>574</v>
      </c>
      <c r="H8" s="19"/>
      <c r="I8" s="42" t="str">
        <f>_xlfn.CONCAT(P8,CHAR(10),
       IF(AND(O8&lt;&gt;"", K8&lt;&gt;""),
          "Situación: " &amp; O8 &amp; CHAR(10) &amp; "Calificación: " &amp; K8 &amp; "%" &amp; CHAR(10),
          IF(O8&lt;&gt;"",
             "Situación: " &amp; O8 &amp; CHAR(10),
             IF(K8&lt;&gt;"",
                "Calificación: " &amp; K8 &amp; "%" &amp; CHAR(10),
                CHAR(10)))),
       "Meses: ", L8, CHAR(10),
       "Score: ", M8, CHAR(10),
       "Banco: ", N8
)</f>
        <v>De WhatsApp
Situación: NO CALIFICA POR SCORE
Meses: 
Score: 306
Banco: D</v>
      </c>
      <c r="J8" s="41" t="s">
        <v>126</v>
      </c>
      <c r="K8" s="19"/>
      <c r="L8" s="40"/>
      <c r="M8" s="40">
        <v>306</v>
      </c>
      <c r="N8" s="40" t="s">
        <v>260</v>
      </c>
      <c r="O8" s="19" t="s">
        <v>560</v>
      </c>
      <c r="P8" s="41" t="s">
        <v>568</v>
      </c>
      <c r="Q8" s="40" t="s">
        <v>561</v>
      </c>
    </row>
    <row r="9" spans="1:17" x14ac:dyDescent="0.25">
      <c r="A9" s="39">
        <v>45601.626597222225</v>
      </c>
      <c r="B9" s="40" t="s">
        <v>575</v>
      </c>
      <c r="C9" s="41"/>
      <c r="D9" s="42">
        <v>76796282</v>
      </c>
      <c r="E9" s="19"/>
      <c r="F9" s="40"/>
      <c r="G9" s="43" t="s">
        <v>576</v>
      </c>
      <c r="H9" s="19"/>
      <c r="I9" s="42" t="str">
        <f>_xlfn.CONCAT(P9,CHAR(10),
       IF(AND(O9&lt;&gt;"", K9&lt;&gt;""),
          "Situación: " &amp; O9 &amp; CHAR(10) &amp; "Calificación: " &amp; K9 &amp; "%" &amp; CHAR(10),
          IF(O9&lt;&gt;"",
             "Situación: " &amp; O9 &amp; CHAR(10),
             IF(K9&lt;&gt;"",
                "Calificación: " &amp; K9 &amp; "%" &amp; CHAR(10),
                CHAR(10)))),
       "Meses: ", L9, CHAR(10),
       "Score: ", M9, CHAR(10),
       "Banco: ", N9
)</f>
        <v>De WhatsApp
Situación: NO CALIFICA POR SCORE
Meses: 
Score: 227
Banco: E</v>
      </c>
      <c r="J9" s="41" t="s">
        <v>126</v>
      </c>
      <c r="K9" s="19"/>
      <c r="L9" s="40"/>
      <c r="M9" s="40">
        <v>227</v>
      </c>
      <c r="N9" s="40" t="s">
        <v>128</v>
      </c>
      <c r="O9" s="19" t="s">
        <v>560</v>
      </c>
      <c r="P9" s="41" t="s">
        <v>568</v>
      </c>
      <c r="Q9" s="40" t="s">
        <v>561</v>
      </c>
    </row>
    <row r="10" spans="1:17" x14ac:dyDescent="0.25">
      <c r="A10" s="39">
        <v>45601.387719907405</v>
      </c>
      <c r="B10" s="40" t="s">
        <v>577</v>
      </c>
      <c r="C10" s="41"/>
      <c r="D10" s="42">
        <v>71210051</v>
      </c>
      <c r="E10" s="19"/>
      <c r="F10" s="41"/>
      <c r="G10" s="43" t="s">
        <v>578</v>
      </c>
      <c r="H10" s="44" t="s">
        <v>21</v>
      </c>
      <c r="I10" s="42" t="str">
        <f>_xlfn.CONCAT(P10,CHAR(10),
       IF(AND(O10&lt;&gt;"", K10&lt;&gt;""),
          "Situación: " &amp; O10 &amp; CHAR(10) &amp; "Calificación: " &amp; K10 &amp; "%" &amp; CHAR(10),
          IF(O10&lt;&gt;"",
             "Situación: " &amp; O10 &amp; CHAR(10),
             IF(K10&lt;&gt;"",
                "Calificación: " &amp; K10 &amp; "%" &amp; CHAR(10),
                CHAR(10)))),
       "Meses: ", L10, CHAR(10),
       "Score: ", M10, CHAR(10),
       "Banco: ", N10
)</f>
        <v>El próximo año
Calificación: 20%
Meses: 9
Score: 338
Banco: E</v>
      </c>
      <c r="J10" s="41" t="s">
        <v>156</v>
      </c>
      <c r="K10" s="41">
        <v>20</v>
      </c>
      <c r="L10" s="40">
        <v>9</v>
      </c>
      <c r="M10" s="40">
        <v>338</v>
      </c>
      <c r="N10" s="40" t="s">
        <v>128</v>
      </c>
      <c r="O10" s="41"/>
      <c r="P10" s="19" t="s">
        <v>34</v>
      </c>
      <c r="Q10" s="40" t="s">
        <v>561</v>
      </c>
    </row>
    <row r="11" spans="1:17" x14ac:dyDescent="0.25">
      <c r="A11" s="39">
        <v>45601.387719907405</v>
      </c>
      <c r="B11" s="40" t="s">
        <v>579</v>
      </c>
      <c r="C11" s="41"/>
      <c r="D11" s="42">
        <v>45336094</v>
      </c>
      <c r="E11" s="19"/>
      <c r="F11" s="40"/>
      <c r="G11" s="43" t="s">
        <v>23</v>
      </c>
      <c r="H11" s="19"/>
      <c r="I11" s="42" t="str">
        <f>_xlfn.CONCAT(P11,CHAR(10),
       IF(AND(O11&lt;&gt;"", K11&lt;&gt;""),
          "Situación: " &amp; O11 &amp; CHAR(10) &amp; "Calificación: " &amp; K11 &amp; "%" &amp; CHAR(10),
          IF(O11&lt;&gt;"",
             "Situación: " &amp; O11 &amp; CHAR(10),
             IF(K11&lt;&gt;"",
                "Calificación: " &amp; K11 &amp; "%" &amp; CHAR(10),
                CHAR(10)))),
       "Meses: ", L11, CHAR(10),
       "Score: ", M11, CHAR(10),
       "Banco: ", N11
)</f>
        <v>De WhatsApp
Calificación: 20%
Meses: 9
Score: 360
Banco: E</v>
      </c>
      <c r="J11" s="41" t="s">
        <v>156</v>
      </c>
      <c r="K11" s="41">
        <v>20</v>
      </c>
      <c r="L11" s="40">
        <v>9</v>
      </c>
      <c r="M11" s="40">
        <v>360</v>
      </c>
      <c r="N11" s="40" t="s">
        <v>128</v>
      </c>
      <c r="O11" s="41"/>
      <c r="P11" s="41" t="s">
        <v>568</v>
      </c>
      <c r="Q11" s="40" t="s">
        <v>561</v>
      </c>
    </row>
    <row r="12" spans="1:17" x14ac:dyDescent="0.25">
      <c r="A12" s="39">
        <v>45601.387719907405</v>
      </c>
      <c r="B12" s="40" t="s">
        <v>580</v>
      </c>
      <c r="C12" s="41"/>
      <c r="D12" s="42">
        <v>43194113</v>
      </c>
      <c r="E12" s="19"/>
      <c r="F12" s="41"/>
      <c r="G12" s="43" t="s">
        <v>581</v>
      </c>
      <c r="H12" s="44" t="s">
        <v>48</v>
      </c>
      <c r="I12" s="42" t="str">
        <f>_xlfn.CONCAT(P12,CHAR(10),
       IF(AND(O12&lt;&gt;"", K12&lt;&gt;""),
          "Situación: " &amp; O12 &amp; CHAR(10) &amp; "Calificación: " &amp; K12 &amp; "%" &amp; CHAR(10),
          IF(O12&lt;&gt;"",
             "Situación: " &amp; O12 &amp; CHAR(10),
             IF(K12&lt;&gt;"",
                "Calificación: " &amp; K12 &amp; "%" &amp; CHAR(10),
                CHAR(10)))),
       "Meses: ", L12, CHAR(10),
       "Score: ", M12, CHAR(10),
       "Banco: ", N12
)</f>
        <v>El próximo año
Situación: NO CALIFICA POR SCORE
Meses: 
Score: 305
Banco: C</v>
      </c>
      <c r="J12" s="41" t="s">
        <v>126</v>
      </c>
      <c r="K12" s="19"/>
      <c r="L12" s="40"/>
      <c r="M12" s="40">
        <v>305</v>
      </c>
      <c r="N12" s="40" t="s">
        <v>138</v>
      </c>
      <c r="O12" s="19" t="s">
        <v>560</v>
      </c>
      <c r="P12" s="19" t="s">
        <v>34</v>
      </c>
      <c r="Q12" s="40" t="s">
        <v>561</v>
      </c>
    </row>
    <row r="13" spans="1:17" x14ac:dyDescent="0.25">
      <c r="A13" s="39">
        <v>45601.387719907405</v>
      </c>
      <c r="B13" s="40" t="s">
        <v>582</v>
      </c>
      <c r="C13" s="41"/>
      <c r="D13" s="42">
        <v>44645232</v>
      </c>
      <c r="E13" s="19"/>
      <c r="F13" s="40"/>
      <c r="G13" s="43" t="s">
        <v>583</v>
      </c>
      <c r="H13" s="19"/>
      <c r="I13" s="42" t="str">
        <f>_xlfn.CONCAT(P13,CHAR(10),
       IF(AND(O13&lt;&gt;"", K13&lt;&gt;""),
          "Situación: " &amp; O13 &amp; CHAR(10) &amp; "Calificación: " &amp; K13 &amp; "%" &amp; CHAR(10),
          IF(O13&lt;&gt;"",
             "Situación: " &amp; O13 &amp; CHAR(10),
             IF(K13&lt;&gt;"",
                "Calificación: " &amp; K13 &amp; "%" &amp; CHAR(10),
                CHAR(10)))),
       "Meses: ", L13, CHAR(10),
       "Score: ", M13, CHAR(10),
       "Banco: ", N13
)</f>
        <v>De WhatsApp
Situación: NO CALIFICA POR SCORE
Meses: 
Score: 304
Banco: D</v>
      </c>
      <c r="J13" s="41" t="s">
        <v>126</v>
      </c>
      <c r="K13" s="19"/>
      <c r="L13" s="40"/>
      <c r="M13" s="40">
        <v>304</v>
      </c>
      <c r="N13" s="40" t="s">
        <v>260</v>
      </c>
      <c r="O13" s="19" t="s">
        <v>560</v>
      </c>
      <c r="P13" s="41" t="s">
        <v>568</v>
      </c>
      <c r="Q13" s="40" t="s">
        <v>561</v>
      </c>
    </row>
    <row r="14" spans="1:17" x14ac:dyDescent="0.25">
      <c r="A14" s="45">
        <v>45601.3746875</v>
      </c>
      <c r="B14" s="41" t="s">
        <v>584</v>
      </c>
      <c r="C14" s="41"/>
      <c r="D14" s="46"/>
      <c r="E14" s="19"/>
      <c r="F14" s="41"/>
      <c r="G14" s="18" t="s">
        <v>585</v>
      </c>
      <c r="H14" s="19"/>
      <c r="I14" s="19" t="str">
        <f>_xlfn.CONCAT(P14,CHAR(10),
       IF(AND(O14&lt;&gt;"", K14&lt;&gt;""),
          "Situación: " &amp; O14 &amp; CHAR(10) &amp; "Calificación: " &amp; K14 &amp; "%" &amp; CHAR(10),
          IF(O14&lt;&gt;"",
             "Situación: " &amp; O14 &amp; CHAR(10),
             IF(K14&lt;&gt;"",
                "Calificación: " &amp; K14 &amp; "%" &amp; CHAR(10),
                CHAR(10)))),
       "Meses: ", L14, CHAR(10),
       "Score: ", M14, CHAR(10),
       "Banco: ", N14
)</f>
        <v xml:space="preserve">De WhatsApp
Meses: 
Score: 
Banco: </v>
      </c>
      <c r="J14" s="41"/>
      <c r="K14" s="41"/>
      <c r="L14" s="41"/>
      <c r="M14" s="41"/>
      <c r="N14" s="41"/>
      <c r="O14" s="41"/>
      <c r="P14" s="41" t="s">
        <v>568</v>
      </c>
      <c r="Q14" s="40" t="s">
        <v>561</v>
      </c>
    </row>
    <row r="15" spans="1:17" x14ac:dyDescent="0.25">
      <c r="A15" s="39">
        <v>45601.3746875</v>
      </c>
      <c r="B15" s="40" t="s">
        <v>586</v>
      </c>
      <c r="C15" s="41"/>
      <c r="D15" s="42">
        <v>18136841</v>
      </c>
      <c r="E15" s="19"/>
      <c r="F15" s="41"/>
      <c r="G15" s="43" t="s">
        <v>587</v>
      </c>
      <c r="H15" s="44" t="s">
        <v>21</v>
      </c>
      <c r="I15" s="42" t="str">
        <f>_xlfn.CONCAT(P15,CHAR(10),
       IF(AND(O15&lt;&gt;"", K15&lt;&gt;""),
          "Situación: " &amp; O15 &amp; CHAR(10) &amp; "Calificación: " &amp; K15 &amp; "%" &amp; CHAR(10),
          IF(O15&lt;&gt;"",
             "Situación: " &amp; O15 &amp; CHAR(10),
             IF(K15&lt;&gt;"",
                "Calificación: " &amp; K15 &amp; "%" &amp; CHAR(10),
                CHAR(10)))),
       "Meses: ", L15, CHAR(10),
       "Score: ", M15, CHAR(10),
       "Banco: ", N15
)</f>
        <v>Para diciembre de este año
Situación: NO CALIFICA POR SCORE
Meses: 
Score: 303
Banco: E</v>
      </c>
      <c r="J15" s="41" t="s">
        <v>126</v>
      </c>
      <c r="K15" s="19"/>
      <c r="L15" s="40"/>
      <c r="M15" s="40">
        <v>303</v>
      </c>
      <c r="N15" s="40" t="s">
        <v>128</v>
      </c>
      <c r="O15" s="19" t="s">
        <v>560</v>
      </c>
      <c r="P15" s="19" t="s">
        <v>22</v>
      </c>
      <c r="Q15" s="40" t="s">
        <v>561</v>
      </c>
    </row>
    <row r="16" spans="1:17" x14ac:dyDescent="0.25">
      <c r="A16" s="39">
        <v>45601.13622685185</v>
      </c>
      <c r="B16" s="40" t="s">
        <v>588</v>
      </c>
      <c r="C16" s="41"/>
      <c r="D16" s="42">
        <v>44895839</v>
      </c>
      <c r="E16" s="19"/>
      <c r="F16" s="41"/>
      <c r="G16" s="43" t="s">
        <v>589</v>
      </c>
      <c r="H16" s="44" t="s">
        <v>424</v>
      </c>
      <c r="I16" s="42" t="str">
        <f>_xlfn.CONCAT(P16,CHAR(10),
       IF(AND(O16&lt;&gt;"", K16&lt;&gt;""),
          "Situación: " &amp; O16 &amp; CHAR(10) &amp; "Calificación: " &amp; K16 &amp; "%" &amp; CHAR(10),
          IF(O16&lt;&gt;"",
             "Situación: " &amp; O16 &amp; CHAR(10),
             IF(K16&lt;&gt;"",
                "Calificación: " &amp; K16 &amp; "%" &amp; CHAR(10),
                CHAR(10)))),
       "Meses: ", L16, CHAR(10),
       "Score: ", M16, CHAR(10),
       "Banco: ", N16
)</f>
        <v>El próximo año
Situación: MAL SBS
Meses: 
Score: 358
Banco: E</v>
      </c>
      <c r="J16" s="41" t="s">
        <v>164</v>
      </c>
      <c r="K16" s="41"/>
      <c r="L16" s="40"/>
      <c r="M16" s="40">
        <v>358</v>
      </c>
      <c r="N16" s="40" t="s">
        <v>128</v>
      </c>
      <c r="O16" s="41" t="s">
        <v>590</v>
      </c>
      <c r="P16" s="19" t="s">
        <v>34</v>
      </c>
      <c r="Q16" s="40" t="s">
        <v>561</v>
      </c>
    </row>
    <row r="17" spans="1:17" x14ac:dyDescent="0.25">
      <c r="A17" s="39">
        <v>45601.072789351849</v>
      </c>
      <c r="B17" s="40" t="s">
        <v>591</v>
      </c>
      <c r="C17" s="41"/>
      <c r="D17" s="42">
        <v>70678568</v>
      </c>
      <c r="E17" s="19"/>
      <c r="F17" s="41"/>
      <c r="G17" s="43" t="s">
        <v>592</v>
      </c>
      <c r="H17" s="44" t="s">
        <v>21</v>
      </c>
      <c r="I17" s="42" t="str">
        <f>_xlfn.CONCAT(P17,CHAR(10),
       IF(AND(O17&lt;&gt;"", K17&lt;&gt;""),
          "Situación: " &amp; O17 &amp; CHAR(10) &amp; "Calificación: " &amp; K17 &amp; "%" &amp; CHAR(10),
          IF(O17&lt;&gt;"",
             "Situación: " &amp; O17 &amp; CHAR(10),
             IF(K17&lt;&gt;"",
                "Calificación: " &amp; K17 &amp; "%" &amp; CHAR(10),
                CHAR(10)))),
       "Meses: ", L17, CHAR(10),
       "Score: ", M17, CHAR(10),
       "Banco: ", N17
)</f>
        <v>Lo mas pronto
Situación: NO CALIFICA POR SCORE
Meses: 
Score: 308
Banco: E</v>
      </c>
      <c r="J17" s="41" t="s">
        <v>126</v>
      </c>
      <c r="K17" s="19"/>
      <c r="L17" s="40"/>
      <c r="M17" s="40">
        <v>308</v>
      </c>
      <c r="N17" s="40" t="s">
        <v>128</v>
      </c>
      <c r="O17" s="19" t="s">
        <v>560</v>
      </c>
      <c r="P17" s="19" t="s">
        <v>29</v>
      </c>
      <c r="Q17" s="40" t="s">
        <v>561</v>
      </c>
    </row>
    <row r="18" spans="1:17" x14ac:dyDescent="0.25">
      <c r="A18" s="39">
        <v>45600.953055555554</v>
      </c>
      <c r="B18" s="40" t="s">
        <v>593</v>
      </c>
      <c r="C18" s="41"/>
      <c r="D18" s="42">
        <v>9321928</v>
      </c>
      <c r="E18" s="19"/>
      <c r="F18" s="41"/>
      <c r="G18" s="43" t="s">
        <v>594</v>
      </c>
      <c r="H18" s="44" t="s">
        <v>246</v>
      </c>
      <c r="I18" s="42" t="str">
        <f>_xlfn.CONCAT(P18,CHAR(10),
       IF(AND(O18&lt;&gt;"", K18&lt;&gt;""),
          "Situación: " &amp; O18 &amp; CHAR(10) &amp; "Calificación: " &amp; K18 &amp; "%" &amp; CHAR(10),
          IF(O18&lt;&gt;"",
             "Situación: " &amp; O18 &amp; CHAR(10),
             IF(K18&lt;&gt;"",
                "Calificación: " &amp; K18 &amp; "%" &amp; CHAR(10),
                CHAR(10)))),
       "Meses: ", L18, CHAR(10),
       "Score: ", M18, CHAR(10),
       "Banco: ", N18
)</f>
        <v>Para diciembre de este año
Situación: POR EDAD NO CALIFICA
Meses: 
Score: 370
Banco: E</v>
      </c>
      <c r="J18" s="41" t="s">
        <v>164</v>
      </c>
      <c r="K18" s="42"/>
      <c r="L18" s="40"/>
      <c r="M18" s="40">
        <v>370</v>
      </c>
      <c r="N18" s="40" t="s">
        <v>128</v>
      </c>
      <c r="O18" s="42" t="s">
        <v>311</v>
      </c>
      <c r="P18" s="19" t="s">
        <v>22</v>
      </c>
      <c r="Q18" s="40" t="s">
        <v>561</v>
      </c>
    </row>
    <row r="19" spans="1:17" x14ac:dyDescent="0.25">
      <c r="A19" s="39">
        <v>45600.888912037037</v>
      </c>
      <c r="B19" s="40" t="s">
        <v>595</v>
      </c>
      <c r="C19" s="41"/>
      <c r="D19" s="42">
        <v>41617481</v>
      </c>
      <c r="E19" s="19"/>
      <c r="F19" s="41"/>
      <c r="G19" s="43" t="s">
        <v>596</v>
      </c>
      <c r="H19" s="44" t="s">
        <v>48</v>
      </c>
      <c r="I19" s="42" t="str">
        <f>_xlfn.CONCAT(P19,CHAR(10),
       IF(AND(O19&lt;&gt;"", K19&lt;&gt;""),
          "Situación: " &amp; O19 &amp; CHAR(10) &amp; "Calificación: " &amp; K19 &amp; "%" &amp; CHAR(10),
          IF(O19&lt;&gt;"",
             "Situación: " &amp; O19 &amp; CHAR(10),
             IF(K19&lt;&gt;"",
                "Calificación: " &amp; K19 &amp; "%" &amp; CHAR(10),
                CHAR(10)))),
       "Meses: ", L19, CHAR(10),
       "Score: ", M19, CHAR(10),
       "Banco: ", N19
)</f>
        <v>El próximo año
Calificación: 10%
Meses: 6
Score: 415
Banco: A</v>
      </c>
      <c r="J19" s="41" t="s">
        <v>156</v>
      </c>
      <c r="K19" s="41">
        <v>10</v>
      </c>
      <c r="L19" s="40">
        <v>6</v>
      </c>
      <c r="M19" s="40">
        <v>415</v>
      </c>
      <c r="N19" s="40" t="s">
        <v>229</v>
      </c>
      <c r="O19" s="41"/>
      <c r="P19" s="19" t="s">
        <v>34</v>
      </c>
      <c r="Q19" s="40" t="s">
        <v>561</v>
      </c>
    </row>
    <row r="20" spans="1:17" x14ac:dyDescent="0.25">
      <c r="A20" s="39">
        <v>45600.867581018516</v>
      </c>
      <c r="B20" s="40" t="s">
        <v>597</v>
      </c>
      <c r="C20" s="41"/>
      <c r="D20" s="42">
        <v>46587253</v>
      </c>
      <c r="E20" s="19"/>
      <c r="F20" s="41"/>
      <c r="G20" s="43" t="s">
        <v>598</v>
      </c>
      <c r="H20" s="44" t="s">
        <v>21</v>
      </c>
      <c r="I20" s="42" t="str">
        <f>_xlfn.CONCAT(P20,CHAR(10),
       IF(AND(O20&lt;&gt;"", K20&lt;&gt;""),
          "Situación: " &amp; O20 &amp; CHAR(10) &amp; "Calificación: " &amp; K20 &amp; "%" &amp; CHAR(10),
          IF(O20&lt;&gt;"",
             "Situación: " &amp; O20 &amp; CHAR(10),
             IF(K20&lt;&gt;"",
                "Calificación: " &amp; K20 &amp; "%" &amp; CHAR(10),
                CHAR(10)))),
       "Meses: ", L20, CHAR(10),
       "Score: ", M20, CHAR(10),
       "Banco: ", N20
)</f>
        <v>El próximo año
Situación: NO CALIFICA POR SCORE
Meses: 
Score: 284
Banco: E</v>
      </c>
      <c r="J20" s="41" t="s">
        <v>126</v>
      </c>
      <c r="K20" s="19"/>
      <c r="L20" s="40"/>
      <c r="M20" s="40">
        <v>284</v>
      </c>
      <c r="N20" s="40" t="s">
        <v>128</v>
      </c>
      <c r="O20" s="19" t="s">
        <v>560</v>
      </c>
      <c r="P20" s="19" t="s">
        <v>34</v>
      </c>
      <c r="Q20" s="40" t="s">
        <v>561</v>
      </c>
    </row>
    <row r="21" spans="1:17" x14ac:dyDescent="0.25">
      <c r="A21" s="39">
        <v>45600.85083333333</v>
      </c>
      <c r="B21" s="40" t="s">
        <v>599</v>
      </c>
      <c r="C21" s="41"/>
      <c r="D21" s="42">
        <v>43905883</v>
      </c>
      <c r="E21" s="19"/>
      <c r="F21" s="41"/>
      <c r="G21" s="43" t="s">
        <v>600</v>
      </c>
      <c r="H21" s="44" t="s">
        <v>21</v>
      </c>
      <c r="I21" s="42" t="str">
        <f>_xlfn.CONCAT(P21,CHAR(10),
       IF(AND(O21&lt;&gt;"", K21&lt;&gt;""),
          "Situación: " &amp; O21 &amp; CHAR(10) &amp; "Calificación: " &amp; K21 &amp; "%" &amp; CHAR(10),
          IF(O21&lt;&gt;"",
             "Situación: " &amp; O21 &amp; CHAR(10),
             IF(K21&lt;&gt;"",
                "Calificación: " &amp; K21 &amp; "%" &amp; CHAR(10),
                CHAR(10)))),
       "Meses: ", L21, CHAR(10),
       "Score: ", M21, CHAR(10),
       "Banco: ", N21
)</f>
        <v>El próximo año
Situación: MAL SBS
Meses: 
Score: 361
Banco: B</v>
      </c>
      <c r="J21" s="41" t="s">
        <v>164</v>
      </c>
      <c r="K21" s="41"/>
      <c r="L21" s="40"/>
      <c r="M21" s="40">
        <v>361</v>
      </c>
      <c r="N21" s="40" t="s">
        <v>166</v>
      </c>
      <c r="O21" s="41" t="s">
        <v>590</v>
      </c>
      <c r="P21" s="19" t="s">
        <v>34</v>
      </c>
      <c r="Q21" s="40" t="s">
        <v>561</v>
      </c>
    </row>
    <row r="22" spans="1:17" x14ac:dyDescent="0.25">
      <c r="A22" s="39">
        <v>45600.829965277779</v>
      </c>
      <c r="B22" s="40" t="s">
        <v>601</v>
      </c>
      <c r="C22" s="41"/>
      <c r="D22" s="42">
        <v>74154908</v>
      </c>
      <c r="E22" s="19"/>
      <c r="F22" s="41"/>
      <c r="G22" s="43" t="s">
        <v>602</v>
      </c>
      <c r="H22" s="44" t="s">
        <v>21</v>
      </c>
      <c r="I22" s="42" t="str">
        <f>_xlfn.CONCAT(P22,CHAR(10),
       IF(AND(O22&lt;&gt;"", K22&lt;&gt;""),
          "Situación: " &amp; O22 &amp; CHAR(10) &amp; "Calificación: " &amp; K22 &amp; "%" &amp; CHAR(10),
          IF(O22&lt;&gt;"",
             "Situación: " &amp; O22 &amp; CHAR(10),
             IF(K22&lt;&gt;"",
                "Calificación: " &amp; K22 &amp; "%" &amp; CHAR(10),
                CHAR(10)))),
       "Meses: ", L22, CHAR(10),
       "Score: ", M22, CHAR(10),
       "Banco: ", N22
)</f>
        <v>Para diciembre de este año
Situación: NO CALIFICA POR SCORE
Meses: 
Score: 304
Banco: E</v>
      </c>
      <c r="J22" s="41" t="s">
        <v>126</v>
      </c>
      <c r="K22" s="19"/>
      <c r="L22" s="40"/>
      <c r="M22" s="40">
        <v>304</v>
      </c>
      <c r="N22" s="40" t="s">
        <v>128</v>
      </c>
      <c r="O22" s="19" t="s">
        <v>560</v>
      </c>
      <c r="P22" s="19" t="s">
        <v>22</v>
      </c>
      <c r="Q22" s="40" t="s">
        <v>561</v>
      </c>
    </row>
    <row r="23" spans="1:17" x14ac:dyDescent="0.25">
      <c r="A23" s="39">
        <v>45600.741226851853</v>
      </c>
      <c r="B23" s="40" t="s">
        <v>603</v>
      </c>
      <c r="C23" s="41"/>
      <c r="D23" s="42">
        <v>74021308</v>
      </c>
      <c r="E23" s="19"/>
      <c r="F23" s="41"/>
      <c r="G23" s="43" t="s">
        <v>604</v>
      </c>
      <c r="H23" s="44" t="s">
        <v>21</v>
      </c>
      <c r="I23" s="42" t="str">
        <f>_xlfn.CONCAT(P23,CHAR(10),
       IF(AND(O23&lt;&gt;"", K23&lt;&gt;""),
          "Situación: " &amp; O23 &amp; CHAR(10) &amp; "Calificación: " &amp; K23 &amp; "%" &amp; CHAR(10),
          IF(O23&lt;&gt;"",
             "Situación: " &amp; O23 &amp; CHAR(10),
             IF(K23&lt;&gt;"",
                "Calificación: " &amp; K23 &amp; "%" &amp; CHAR(10),
                CHAR(10)))),
       "Meses: ", L23, CHAR(10),
       "Score: ", M23, CHAR(10),
       "Banco: ", N23
)</f>
        <v>El próximo año
Situación: NO CALIFICA POR SCORE
Meses: 
Score: 302
Banco: C</v>
      </c>
      <c r="J23" s="41" t="s">
        <v>126</v>
      </c>
      <c r="K23" s="19"/>
      <c r="L23" s="40"/>
      <c r="M23" s="40">
        <v>302</v>
      </c>
      <c r="N23" s="40" t="s">
        <v>138</v>
      </c>
      <c r="O23" s="19" t="s">
        <v>560</v>
      </c>
      <c r="P23" s="19" t="s">
        <v>34</v>
      </c>
      <c r="Q23" s="40" t="s">
        <v>561</v>
      </c>
    </row>
    <row r="24" spans="1:17" x14ac:dyDescent="0.25">
      <c r="A24" s="45">
        <v>45600.383993055555</v>
      </c>
      <c r="B24" s="41" t="s">
        <v>605</v>
      </c>
      <c r="C24" s="41"/>
      <c r="D24" s="19">
        <v>18028405</v>
      </c>
      <c r="E24" s="19"/>
      <c r="F24" s="41"/>
      <c r="G24" s="18" t="s">
        <v>606</v>
      </c>
      <c r="H24" s="47"/>
      <c r="I24" s="19" t="str">
        <f>_xlfn.CONCAT(P24,CHAR(10),
       IF(AND(O24&lt;&gt;"", K24&lt;&gt;""),
          "Situación: " &amp; O24 &amp; CHAR(10) &amp; "Calificación: " &amp; K24 &amp; "%" &amp; CHAR(10),
          IF(O24&lt;&gt;"",
             "Situación: " &amp; O24 &amp; CHAR(10),
             IF(K24&lt;&gt;"",
                "Calificación: " &amp; K24 &amp; "%" &amp; CHAR(10),
                CHAR(10)))),
       "Meses: ", L24, CHAR(10),
       "Score: ", M24, CHAR(10),
       "Banco: ", N24
)</f>
        <v xml:space="preserve">De WhatsApp
Calificación: 20%
Meses: 9
Score: 360
Banco: </v>
      </c>
      <c r="J24" s="41" t="s">
        <v>156</v>
      </c>
      <c r="K24" s="41">
        <v>20</v>
      </c>
      <c r="L24" s="41">
        <v>9</v>
      </c>
      <c r="M24" s="41">
        <v>360</v>
      </c>
      <c r="N24" s="41"/>
      <c r="O24" s="41"/>
      <c r="P24" s="41" t="s">
        <v>568</v>
      </c>
      <c r="Q24" s="40" t="s">
        <v>561</v>
      </c>
    </row>
    <row r="25" spans="1:17" x14ac:dyDescent="0.25">
      <c r="A25" s="45">
        <v>45600.383993055555</v>
      </c>
      <c r="B25" s="41" t="s">
        <v>607</v>
      </c>
      <c r="C25" s="41"/>
      <c r="D25" s="19">
        <v>73307923</v>
      </c>
      <c r="E25" s="19"/>
      <c r="F25" s="41"/>
      <c r="G25" s="18" t="s">
        <v>608</v>
      </c>
      <c r="H25" s="47" t="s">
        <v>21</v>
      </c>
      <c r="I25" s="19" t="str">
        <f>_xlfn.CONCAT(P25,CHAR(10),
       IF(AND(O25&lt;&gt;"", K25&lt;&gt;""),
          "Situación: " &amp; O25 &amp; CHAR(10) &amp; "Calificación: " &amp; K25 &amp; "%" &amp; CHAR(10),
          IF(O25&lt;&gt;"",
             "Situación: " &amp; O25 &amp; CHAR(10),
             IF(K25&lt;&gt;"",
                "Calificación: " &amp; K25 &amp; "%" &amp; CHAR(10),
                CHAR(10)))),
       "Meses: ", L25, CHAR(10),
       "Score: ", M25, CHAR(10),
       "Banco: ", N25
)</f>
        <v xml:space="preserve">El próximo año
Situación: BAJO SCORE
Meses: 
Score: 305
Banco: </v>
      </c>
      <c r="J25" s="41" t="s">
        <v>126</v>
      </c>
      <c r="K25" s="41"/>
      <c r="L25" s="41"/>
      <c r="M25" s="41">
        <v>305</v>
      </c>
      <c r="N25" s="41"/>
      <c r="O25" s="41" t="s">
        <v>609</v>
      </c>
      <c r="P25" s="19" t="s">
        <v>34</v>
      </c>
      <c r="Q25" s="40" t="s">
        <v>561</v>
      </c>
    </row>
    <row r="26" spans="1:17" x14ac:dyDescent="0.25">
      <c r="A26" s="45">
        <v>45600.383993055555</v>
      </c>
      <c r="B26" s="41" t="s">
        <v>610</v>
      </c>
      <c r="C26" s="41"/>
      <c r="D26" s="19">
        <v>48677635</v>
      </c>
      <c r="E26" s="19"/>
      <c r="F26" s="41"/>
      <c r="G26" s="18" t="s">
        <v>611</v>
      </c>
      <c r="H26" s="47" t="s">
        <v>21</v>
      </c>
      <c r="I26" s="19" t="str">
        <f>_xlfn.CONCAT(P26,CHAR(10),
       IF(AND(O26&lt;&gt;"", K26&lt;&gt;""),
          "Situación: " &amp; O26 &amp; CHAR(10) &amp; "Calificación: " &amp; K26 &amp; "%" &amp; CHAR(10),
          IF(O26&lt;&gt;"",
             "Situación: " &amp; O26 &amp; CHAR(10),
             IF(K26&lt;&gt;"",
                "Calificación: " &amp; K26 &amp; "%" &amp; CHAR(10),
                CHAR(10)))),
       "Meses: ", L26, CHAR(10),
       "Score: ", M26, CHAR(10),
       "Banco: ", N26
)</f>
        <v xml:space="preserve">El próximo año
Situación: BAJO SCORE
Meses: 
Score: 301
Banco: </v>
      </c>
      <c r="J26" s="41" t="s">
        <v>126</v>
      </c>
      <c r="K26" s="41"/>
      <c r="L26" s="41"/>
      <c r="M26" s="41">
        <v>301</v>
      </c>
      <c r="N26" s="41"/>
      <c r="O26" s="41" t="s">
        <v>609</v>
      </c>
      <c r="P26" s="19" t="s">
        <v>34</v>
      </c>
      <c r="Q26" s="40" t="s">
        <v>561</v>
      </c>
    </row>
    <row r="27" spans="1:17" x14ac:dyDescent="0.25">
      <c r="A27" s="45">
        <v>45600.383993055555</v>
      </c>
      <c r="B27" s="41" t="s">
        <v>612</v>
      </c>
      <c r="C27" s="41"/>
      <c r="D27" s="19">
        <v>74444674</v>
      </c>
      <c r="E27" s="19"/>
      <c r="F27" s="41"/>
      <c r="G27" s="18" t="s">
        <v>613</v>
      </c>
      <c r="H27" s="47" t="s">
        <v>21</v>
      </c>
      <c r="I27" s="19" t="str">
        <f>_xlfn.CONCAT(P27,CHAR(10),
       IF(AND(O27&lt;&gt;"", K27&lt;&gt;""),
          "Situación: " &amp; O27 &amp; CHAR(10) &amp; "Calificación: " &amp; K27 &amp; "%" &amp; CHAR(10),
          IF(O27&lt;&gt;"",
             "Situación: " &amp; O27 &amp; CHAR(10),
             IF(K27&lt;&gt;"",
                "Calificación: " &amp; K27 &amp; "%" &amp; CHAR(10),
                CHAR(10)))),
       "Meses: ", L27, CHAR(10),
       "Score: ", M27, CHAR(10),
       "Banco: ", N27
)</f>
        <v xml:space="preserve">Para diciembre de este año
Situación: BAJO SCORE
Meses: 
Score: 290
Banco: </v>
      </c>
      <c r="J27" s="41" t="s">
        <v>126</v>
      </c>
      <c r="K27" s="41"/>
      <c r="L27" s="41"/>
      <c r="M27" s="41">
        <v>290</v>
      </c>
      <c r="N27" s="41"/>
      <c r="O27" s="41" t="s">
        <v>609</v>
      </c>
      <c r="P27" s="19" t="s">
        <v>22</v>
      </c>
      <c r="Q27" s="40" t="s">
        <v>561</v>
      </c>
    </row>
    <row r="28" spans="1:17" x14ac:dyDescent="0.25">
      <c r="A28" s="45">
        <v>45600.37395833333</v>
      </c>
      <c r="B28" s="41" t="s">
        <v>614</v>
      </c>
      <c r="C28" s="41"/>
      <c r="D28" s="19">
        <v>10566630</v>
      </c>
      <c r="E28" s="19"/>
      <c r="F28" s="41"/>
      <c r="G28" s="18" t="s">
        <v>615</v>
      </c>
      <c r="H28" s="47" t="s">
        <v>21</v>
      </c>
      <c r="I28" s="19" t="str">
        <f>_xlfn.CONCAT(P28,CHAR(10),
       IF(AND(O28&lt;&gt;"", K28&lt;&gt;""),
          "Situación: " &amp; O28 &amp; CHAR(10) &amp; "Calificación: " &amp; K28 &amp; "%" &amp; CHAR(10),
          IF(O28&lt;&gt;"",
             "Situación: " &amp; O28 &amp; CHAR(10),
             IF(K28&lt;&gt;"",
                "Calificación: " &amp; K28 &amp; "%" &amp; CHAR(10),
                CHAR(10)))),
       "Meses: ", L28, CHAR(10),
       "Score: ", M28, CHAR(10),
       "Banco: ", N28
)</f>
        <v xml:space="preserve">El próximo año
Situación: MAL SBS
Meses: 
Score: 458
Banco: </v>
      </c>
      <c r="J28" s="41" t="s">
        <v>164</v>
      </c>
      <c r="K28" s="41"/>
      <c r="L28" s="41"/>
      <c r="M28" s="41">
        <v>458</v>
      </c>
      <c r="N28" s="41"/>
      <c r="O28" s="41" t="s">
        <v>590</v>
      </c>
      <c r="P28" s="19" t="s">
        <v>34</v>
      </c>
      <c r="Q28" s="40" t="s">
        <v>561</v>
      </c>
    </row>
    <row r="29" spans="1:17" x14ac:dyDescent="0.25">
      <c r="A29" s="45">
        <v>45600.37395833333</v>
      </c>
      <c r="B29" s="41" t="s">
        <v>616</v>
      </c>
      <c r="C29" s="41"/>
      <c r="D29" s="19">
        <v>44742233</v>
      </c>
      <c r="E29" s="19"/>
      <c r="F29" s="41"/>
      <c r="G29" s="18" t="s">
        <v>617</v>
      </c>
      <c r="H29" s="47" t="s">
        <v>21</v>
      </c>
      <c r="I29" s="19" t="str">
        <f>_xlfn.CONCAT(P29,CHAR(10),
       IF(AND(O29&lt;&gt;"", K29&lt;&gt;""),
          "Situación: " &amp; O29 &amp; CHAR(10) &amp; "Calificación: " &amp; K29 &amp; "%" &amp; CHAR(10),
          IF(O29&lt;&gt;"",
             "Situación: " &amp; O29 &amp; CHAR(10),
             IF(K29&lt;&gt;"",
                "Calificación: " &amp; K29 &amp; "%" &amp; CHAR(10),
                CHAR(10)))),
       "Meses: ", L29, CHAR(10),
       "Score: ", M29, CHAR(10),
       "Banco: ", N29
)</f>
        <v xml:space="preserve">El próximo año
Situación: MAL SBS
Meses: 
Score: 358
Banco: </v>
      </c>
      <c r="J29" s="41" t="s">
        <v>164</v>
      </c>
      <c r="K29" s="41"/>
      <c r="L29" s="41"/>
      <c r="M29" s="41">
        <v>358</v>
      </c>
      <c r="N29" s="41"/>
      <c r="O29" s="41" t="s">
        <v>590</v>
      </c>
      <c r="P29" s="19" t="s">
        <v>34</v>
      </c>
      <c r="Q29" s="40" t="s">
        <v>561</v>
      </c>
    </row>
    <row r="30" spans="1:17" x14ac:dyDescent="0.25">
      <c r="A30" s="45">
        <v>45600.37395833333</v>
      </c>
      <c r="B30" s="41" t="s">
        <v>618</v>
      </c>
      <c r="C30" s="41"/>
      <c r="D30" s="19">
        <v>77153382</v>
      </c>
      <c r="E30" s="19"/>
      <c r="F30" s="41"/>
      <c r="G30" s="18" t="s">
        <v>619</v>
      </c>
      <c r="H30" s="47"/>
      <c r="I30" s="19" t="str">
        <f>_xlfn.CONCAT(P30,CHAR(10),
       IF(AND(O30&lt;&gt;"", K30&lt;&gt;""),
          "Situación: " &amp; O30 &amp; CHAR(10) &amp; "Calificación: " &amp; K30 &amp; "%" &amp; CHAR(10),
          IF(O30&lt;&gt;"",
             "Situación: " &amp; O30 &amp; CHAR(10),
             IF(K30&lt;&gt;"",
                "Calificación: " &amp; K30 &amp; "%" &amp; CHAR(10),
                CHAR(10)))),
       "Meses: ", L30, CHAR(10),
       "Score: ", M30, CHAR(10),
       "Banco: ", N30
)</f>
        <v xml:space="preserve">De WhatsApp
Calificación: 20%
Meses: 9
Score: 345
Banco: </v>
      </c>
      <c r="J30" s="41" t="s">
        <v>156</v>
      </c>
      <c r="K30" s="41">
        <v>20</v>
      </c>
      <c r="L30" s="41">
        <v>9</v>
      </c>
      <c r="M30" s="41">
        <v>345</v>
      </c>
      <c r="N30" s="41"/>
      <c r="O30" s="41"/>
      <c r="P30" s="41" t="s">
        <v>568</v>
      </c>
      <c r="Q30" s="40" t="s">
        <v>561</v>
      </c>
    </row>
    <row r="31" spans="1:17" x14ac:dyDescent="0.25">
      <c r="A31" s="45">
        <v>45600.37395833333</v>
      </c>
      <c r="B31" s="41" t="s">
        <v>620</v>
      </c>
      <c r="C31" s="41"/>
      <c r="D31" s="19">
        <v>19324300</v>
      </c>
      <c r="E31" s="19"/>
      <c r="F31" s="41"/>
      <c r="G31" s="18" t="s">
        <v>621</v>
      </c>
      <c r="H31" s="47" t="s">
        <v>21</v>
      </c>
      <c r="I31" s="19" t="str">
        <f>_xlfn.CONCAT(P31,CHAR(10),
       IF(AND(O31&lt;&gt;"", K31&lt;&gt;""),
          "Situación: " &amp; O31 &amp; CHAR(10) &amp; "Calificación: " &amp; K31 &amp; "%" &amp; CHAR(10),
          IF(O31&lt;&gt;"",
             "Situación: " &amp; O31 &amp; CHAR(10),
             IF(K31&lt;&gt;"",
                "Calificación: " &amp; K31 &amp; "%" &amp; CHAR(10),
                CHAR(10)))),
       "Meses: ", L31, CHAR(10),
       "Score: ", M31, CHAR(10),
       "Banco: ", N31
)</f>
        <v xml:space="preserve">Para diciembre de este año
Calificación: 10%
Meses: 6
Score: 455
Banco: </v>
      </c>
      <c r="J31" s="41" t="s">
        <v>156</v>
      </c>
      <c r="K31" s="41">
        <v>10</v>
      </c>
      <c r="L31" s="41">
        <v>6</v>
      </c>
      <c r="M31" s="41">
        <v>455</v>
      </c>
      <c r="N31" s="41"/>
      <c r="O31" s="41"/>
      <c r="P31" s="19" t="s">
        <v>22</v>
      </c>
      <c r="Q31" s="40" t="s">
        <v>561</v>
      </c>
    </row>
    <row r="32" spans="1:17" x14ac:dyDescent="0.25">
      <c r="A32" s="45">
        <v>45600.37395833333</v>
      </c>
      <c r="B32" s="41" t="s">
        <v>622</v>
      </c>
      <c r="C32" s="41"/>
      <c r="D32" s="19">
        <v>46397920</v>
      </c>
      <c r="E32" s="19"/>
      <c r="F32" s="41"/>
      <c r="G32" s="18" t="s">
        <v>623</v>
      </c>
      <c r="H32" s="47" t="s">
        <v>21</v>
      </c>
      <c r="I32" s="19" t="str">
        <f>_xlfn.CONCAT(P32,CHAR(10),
       IF(AND(O32&lt;&gt;"", K32&lt;&gt;""),
          "Situación: " &amp; O32 &amp; CHAR(10) &amp; "Calificación: " &amp; K32 &amp; "%" &amp; CHAR(10),
          IF(O32&lt;&gt;"",
             "Situación: " &amp; O32 &amp; CHAR(10),
             IF(K32&lt;&gt;"",
                "Calificación: " &amp; K32 &amp; "%" &amp; CHAR(10),
                CHAR(10)))),
       "Meses: ", L32, CHAR(10),
       "Score: ", M32, CHAR(10),
       "Banco: ", N32
)</f>
        <v xml:space="preserve">El próximo año
Situación: BAJO SCORE
Meses: 
Score: 308
Banco: </v>
      </c>
      <c r="J32" s="41" t="s">
        <v>126</v>
      </c>
      <c r="K32" s="41"/>
      <c r="L32" s="41"/>
      <c r="M32" s="41">
        <v>308</v>
      </c>
      <c r="N32" s="41"/>
      <c r="O32" s="41" t="s">
        <v>609</v>
      </c>
      <c r="P32" s="19" t="s">
        <v>34</v>
      </c>
      <c r="Q32" s="40" t="s">
        <v>561</v>
      </c>
    </row>
    <row r="33" spans="1:17" x14ac:dyDescent="0.25">
      <c r="A33" s="45">
        <v>45600.37395833333</v>
      </c>
      <c r="B33" s="41" t="s">
        <v>502</v>
      </c>
      <c r="C33" s="41"/>
      <c r="D33" s="19">
        <v>18126884</v>
      </c>
      <c r="E33" s="19"/>
      <c r="F33" s="41"/>
      <c r="G33" s="18" t="s">
        <v>503</v>
      </c>
      <c r="H33" s="47" t="s">
        <v>21</v>
      </c>
      <c r="I33" s="19" t="str">
        <f>_xlfn.CONCAT(P33,CHAR(10),
       IF(AND(O33&lt;&gt;"", K33&lt;&gt;""),
          "Situación: " &amp; O33 &amp; CHAR(10) &amp; "Calificación: " &amp; K33 &amp; "%" &amp; CHAR(10),
          IF(O33&lt;&gt;"",
             "Situación: " &amp; O33 &amp; CHAR(10),
             IF(K33&lt;&gt;"",
                "Calificación: " &amp; K33 &amp; "%" &amp; CHAR(10),
                CHAR(10)))),
       "Meses: ", L33, CHAR(10),
       "Score: ", M33, CHAR(10),
       "Banco: ", N33
)</f>
        <v xml:space="preserve">Lo mas pronto
Situación: BAJO SCORE
Meses: 
Score: 307
Banco: </v>
      </c>
      <c r="J33" s="41" t="s">
        <v>126</v>
      </c>
      <c r="K33" s="41"/>
      <c r="L33" s="41"/>
      <c r="M33" s="41">
        <v>307</v>
      </c>
      <c r="N33" s="41"/>
      <c r="O33" s="41" t="s">
        <v>609</v>
      </c>
      <c r="P33" s="19" t="s">
        <v>29</v>
      </c>
      <c r="Q33" s="40" t="s">
        <v>561</v>
      </c>
    </row>
    <row r="34" spans="1:17" x14ac:dyDescent="0.25">
      <c r="A34" s="45">
        <v>45600.32534722222</v>
      </c>
      <c r="B34" s="41" t="s">
        <v>624</v>
      </c>
      <c r="C34" s="41"/>
      <c r="D34" s="19">
        <v>46662027</v>
      </c>
      <c r="E34" s="19"/>
      <c r="F34" s="41"/>
      <c r="G34" s="18" t="s">
        <v>625</v>
      </c>
      <c r="H34" s="47" t="s">
        <v>147</v>
      </c>
      <c r="I34" s="19" t="str">
        <f>_xlfn.CONCAT(P34,CHAR(10),
       IF(AND(O34&lt;&gt;"", K34&lt;&gt;""),
          "Situación: " &amp; O34 &amp; CHAR(10) &amp; "Calificación: " &amp; K34 &amp; "%" &amp; CHAR(10),
          IF(O34&lt;&gt;"",
             "Situación: " &amp; O34 &amp; CHAR(10),
             IF(K34&lt;&gt;"",
                "Calificación: " &amp; K34 &amp; "%" &amp; CHAR(10),
                CHAR(10)))),
       "Meses: ", L34, CHAR(10),
       "Score: ", M34, CHAR(10),
       "Banco: ", N34
)</f>
        <v xml:space="preserve">El próximo año
Situación: MAL SBS
Meses: 
Score: 352
Banco: </v>
      </c>
      <c r="J34" s="41" t="s">
        <v>164</v>
      </c>
      <c r="K34" s="41"/>
      <c r="L34" s="41"/>
      <c r="M34" s="41">
        <v>352</v>
      </c>
      <c r="N34" s="41"/>
      <c r="O34" s="41" t="s">
        <v>590</v>
      </c>
      <c r="P34" s="19" t="s">
        <v>34</v>
      </c>
      <c r="Q34" s="40" t="s">
        <v>561</v>
      </c>
    </row>
    <row r="35" spans="1:17" x14ac:dyDescent="0.25">
      <c r="A35" s="45">
        <v>45600.32534722222</v>
      </c>
      <c r="B35" s="41" t="s">
        <v>626</v>
      </c>
      <c r="C35" s="41"/>
      <c r="D35" s="19">
        <v>46977064</v>
      </c>
      <c r="E35" s="19"/>
      <c r="F35" s="41"/>
      <c r="G35" s="18" t="s">
        <v>627</v>
      </c>
      <c r="H35" s="47" t="s">
        <v>21</v>
      </c>
      <c r="I35" s="19" t="str">
        <f>_xlfn.CONCAT(P35,CHAR(10),
       IF(AND(O35&lt;&gt;"", K35&lt;&gt;""),
          "Situación: " &amp; O35 &amp; CHAR(10) &amp; "Calificación: " &amp; K35 &amp; "%" &amp; CHAR(10),
          IF(O35&lt;&gt;"",
             "Situación: " &amp; O35 &amp; CHAR(10),
             IF(K35&lt;&gt;"",
                "Calificación: " &amp; K35 &amp; "%" &amp; CHAR(10),
                CHAR(10)))),
       "Meses: ", L35, CHAR(10),
       "Score: ", M35, CHAR(10),
       "Banco: ", N35
)</f>
        <v xml:space="preserve">El próximo año
Situación: BAJO SCORE / MAL SBS
Meses: 
Score: 268
Banco: </v>
      </c>
      <c r="J35" s="41" t="s">
        <v>126</v>
      </c>
      <c r="K35" s="41"/>
      <c r="L35" s="41"/>
      <c r="M35" s="41">
        <v>268</v>
      </c>
      <c r="N35" s="41"/>
      <c r="O35" s="41" t="s">
        <v>628</v>
      </c>
      <c r="P35" s="19" t="s">
        <v>34</v>
      </c>
      <c r="Q35" s="40" t="s">
        <v>561</v>
      </c>
    </row>
    <row r="36" spans="1:17" x14ac:dyDescent="0.25">
      <c r="A36" s="45">
        <v>45600.085462962961</v>
      </c>
      <c r="B36" s="41" t="s">
        <v>629</v>
      </c>
      <c r="C36" s="41"/>
      <c r="D36" s="19">
        <v>45323635</v>
      </c>
      <c r="E36" s="19"/>
      <c r="F36" s="41"/>
      <c r="G36" s="18" t="s">
        <v>630</v>
      </c>
      <c r="H36" s="47" t="s">
        <v>21</v>
      </c>
      <c r="I36" s="19" t="str">
        <f>_xlfn.CONCAT(P36,CHAR(10),
       IF(AND(O36&lt;&gt;"", K36&lt;&gt;""),
          "Situación: " &amp; O36 &amp; CHAR(10) &amp; "Calificación: " &amp; K36 &amp; "%" &amp; CHAR(10),
          IF(O36&lt;&gt;"",
             "Situación: " &amp; O36 &amp; CHAR(10),
             IF(K36&lt;&gt;"",
                "Calificación: " &amp; K36 &amp; "%" &amp; CHAR(10),
                CHAR(10)))),
       "Meses: ", L36, CHAR(10),
       "Score: ", M36, CHAR(10),
       "Banco: ", N36
)</f>
        <v xml:space="preserve">El próximo año
Situación: BAJO SCORE / MAL SBS
Meses: 
Score: 322
Banco: </v>
      </c>
      <c r="J36" s="41" t="s">
        <v>126</v>
      </c>
      <c r="K36" s="41"/>
      <c r="L36" s="41"/>
      <c r="M36" s="41">
        <v>322</v>
      </c>
      <c r="N36" s="41"/>
      <c r="O36" s="41" t="s">
        <v>628</v>
      </c>
      <c r="P36" s="19" t="s">
        <v>34</v>
      </c>
      <c r="Q36" s="40" t="s">
        <v>561</v>
      </c>
    </row>
    <row r="37" spans="1:17" x14ac:dyDescent="0.25">
      <c r="A37" s="45">
        <v>45600.085462962961</v>
      </c>
      <c r="B37" s="41" t="s">
        <v>631</v>
      </c>
      <c r="C37" s="41"/>
      <c r="D37" s="19">
        <v>72708245</v>
      </c>
      <c r="E37" s="19"/>
      <c r="F37" s="41"/>
      <c r="G37" s="18" t="s">
        <v>632</v>
      </c>
      <c r="H37" s="47" t="s">
        <v>21</v>
      </c>
      <c r="I37" s="19" t="str">
        <f>_xlfn.CONCAT(P37,CHAR(10),
       IF(AND(O37&lt;&gt;"", K37&lt;&gt;""),
          "Situación: " &amp; O37 &amp; CHAR(10) &amp; "Calificación: " &amp; K37 &amp; "%" &amp; CHAR(10),
          IF(O37&lt;&gt;"",
             "Situación: " &amp; O37 &amp; CHAR(10),
             IF(K37&lt;&gt;"",
                "Calificación: " &amp; K37 &amp; "%" &amp; CHAR(10),
                CHAR(10)))),
       "Meses: ", L37, CHAR(10),
       "Score: ", M37, CHAR(10),
       "Banco: ", N37
)</f>
        <v xml:space="preserve">Para diciembre de este año
Calificación: 10%
Meses: 6
Score: 425
Banco: </v>
      </c>
      <c r="J37" s="41" t="s">
        <v>156</v>
      </c>
      <c r="K37" s="41">
        <v>10</v>
      </c>
      <c r="L37" s="41">
        <v>6</v>
      </c>
      <c r="M37" s="41">
        <v>425</v>
      </c>
      <c r="N37" s="41"/>
      <c r="O37" s="41"/>
      <c r="P37" s="19" t="s">
        <v>22</v>
      </c>
      <c r="Q37" s="40" t="s">
        <v>561</v>
      </c>
    </row>
    <row r="38" spans="1:17" x14ac:dyDescent="0.25">
      <c r="A38" s="45">
        <v>45599.993495370371</v>
      </c>
      <c r="B38" s="41" t="s">
        <v>633</v>
      </c>
      <c r="C38" s="41"/>
      <c r="D38" s="19">
        <v>70372907</v>
      </c>
      <c r="E38" s="19"/>
      <c r="F38" s="41"/>
      <c r="G38" s="18" t="s">
        <v>634</v>
      </c>
      <c r="H38" s="47" t="s">
        <v>21</v>
      </c>
      <c r="I38" s="19" t="str">
        <f>_xlfn.CONCAT(P38,CHAR(10),
       IF(AND(O38&lt;&gt;"", K38&lt;&gt;""),
          "Situación: " &amp; O38 &amp; CHAR(10) &amp; "Calificación: " &amp; K38 &amp; "%" &amp; CHAR(10),
          IF(O38&lt;&gt;"",
             "Situación: " &amp; O38 &amp; CHAR(10),
             IF(K38&lt;&gt;"",
                "Calificación: " &amp; K38 &amp; "%" &amp; CHAR(10),
                CHAR(10)))),
       "Meses: ", L38, CHAR(10),
       "Score: ", M38, CHAR(10),
       "Banco: ", N38
)</f>
        <v xml:space="preserve">Lo mas pronto
Situación: NO CALIFICA POR SCORE
Meses: 
Score: 295
Banco: </v>
      </c>
      <c r="J38" s="41" t="s">
        <v>126</v>
      </c>
      <c r="K38" s="19"/>
      <c r="L38" s="41"/>
      <c r="M38" s="41">
        <v>295</v>
      </c>
      <c r="N38" s="41"/>
      <c r="O38" s="19" t="s">
        <v>560</v>
      </c>
      <c r="P38" s="19" t="s">
        <v>29</v>
      </c>
      <c r="Q38" s="40" t="s">
        <v>561</v>
      </c>
    </row>
    <row r="39" spans="1:17" x14ac:dyDescent="0.25">
      <c r="A39" s="45">
        <v>45599.973645833335</v>
      </c>
      <c r="B39" s="41" t="s">
        <v>635</v>
      </c>
      <c r="C39" s="41"/>
      <c r="D39" s="19">
        <v>46921642</v>
      </c>
      <c r="E39" s="19"/>
      <c r="F39" s="41"/>
      <c r="G39" s="18" t="s">
        <v>636</v>
      </c>
      <c r="H39" s="47" t="s">
        <v>21</v>
      </c>
      <c r="I39" s="19" t="str">
        <f>_xlfn.CONCAT(P39,CHAR(10),
       IF(AND(O39&lt;&gt;"", K39&lt;&gt;""),
          "Situación: " &amp; O39 &amp; CHAR(10) &amp; "Calificación: " &amp; K39 &amp; "%" &amp; CHAR(10),
          IF(O39&lt;&gt;"",
             "Situación: " &amp; O39 &amp; CHAR(10),
             IF(K39&lt;&gt;"",
                "Calificación: " &amp; K39 &amp; "%" &amp; CHAR(10),
                CHAR(10)))),
       "Meses: ", L39, CHAR(10),
       "Score: ", M39, CHAR(10),
       "Banco: ", N39
)</f>
        <v xml:space="preserve">Para diciembre de este año
Calificación: 10%
Meses: 6
Score: 499
Banco: </v>
      </c>
      <c r="J39" s="41" t="s">
        <v>156</v>
      </c>
      <c r="K39" s="41">
        <v>10</v>
      </c>
      <c r="L39" s="41">
        <v>6</v>
      </c>
      <c r="M39" s="41">
        <v>499</v>
      </c>
      <c r="N39" s="41"/>
      <c r="O39" s="41"/>
      <c r="P39" s="19" t="s">
        <v>22</v>
      </c>
      <c r="Q39" s="40" t="s">
        <v>561</v>
      </c>
    </row>
    <row r="40" spans="1:17" x14ac:dyDescent="0.25">
      <c r="A40" s="45">
        <v>45599.913356481484</v>
      </c>
      <c r="B40" s="41" t="s">
        <v>637</v>
      </c>
      <c r="C40" s="41"/>
      <c r="D40" s="19">
        <v>48256800</v>
      </c>
      <c r="E40" s="19"/>
      <c r="F40" s="41"/>
      <c r="G40" s="18" t="s">
        <v>638</v>
      </c>
      <c r="H40" s="47" t="s">
        <v>21</v>
      </c>
      <c r="I40" s="19" t="str">
        <f>_xlfn.CONCAT(P40,CHAR(10),
       IF(AND(O40&lt;&gt;"", K40&lt;&gt;""),
          "Situación: " &amp; O40 &amp; CHAR(10) &amp; "Calificación: " &amp; K40 &amp; "%" &amp; CHAR(10),
          IF(O40&lt;&gt;"",
             "Situación: " &amp; O40 &amp; CHAR(10),
             IF(K40&lt;&gt;"",
                "Calificación: " &amp; K40 &amp; "%" &amp; CHAR(10),
                CHAR(10)))),
       "Meses: ", L40, CHAR(10),
       "Score: ", M40, CHAR(10),
       "Banco: ", N40
)</f>
        <v xml:space="preserve">El próximo año
Situación: BAJO SCORE
Meses: 
Score: 295
Banco: </v>
      </c>
      <c r="J40" s="41" t="s">
        <v>126</v>
      </c>
      <c r="K40" s="41"/>
      <c r="L40" s="41"/>
      <c r="M40" s="41">
        <v>295</v>
      </c>
      <c r="N40" s="41"/>
      <c r="O40" s="41" t="s">
        <v>609</v>
      </c>
      <c r="P40" s="19" t="s">
        <v>34</v>
      </c>
      <c r="Q40" s="40" t="s">
        <v>561</v>
      </c>
    </row>
    <row r="41" spans="1:17" x14ac:dyDescent="0.25">
      <c r="A41" s="45">
        <v>45599.867592592593</v>
      </c>
      <c r="B41" s="41" t="s">
        <v>639</v>
      </c>
      <c r="C41" s="41"/>
      <c r="D41" s="19">
        <v>70356733</v>
      </c>
      <c r="E41" s="19"/>
      <c r="F41" s="41"/>
      <c r="G41" s="18" t="s">
        <v>640</v>
      </c>
      <c r="H41" s="47" t="s">
        <v>21</v>
      </c>
      <c r="I41" s="19" t="str">
        <f>_xlfn.CONCAT(P41,CHAR(10),
       IF(AND(O41&lt;&gt;"", K41&lt;&gt;""),
          "Situación: " &amp; O41 &amp; CHAR(10) &amp; "Calificación: " &amp; K41 &amp; "%" &amp; CHAR(10),
          IF(O41&lt;&gt;"",
             "Situación: " &amp; O41 &amp; CHAR(10),
             IF(K41&lt;&gt;"",
                "Calificación: " &amp; K41 &amp; "%" &amp; CHAR(10),
                CHAR(10)))),
       "Meses: ", L41, CHAR(10),
       "Score: ", M41, CHAR(10),
       "Banco: ", N41
)</f>
        <v xml:space="preserve">Lo mas pronto
Situación: BAJO SCORE
Meses: 
Score: 290
Banco: </v>
      </c>
      <c r="J41" s="41" t="s">
        <v>126</v>
      </c>
      <c r="K41" s="41"/>
      <c r="L41" s="41"/>
      <c r="M41" s="41">
        <v>290</v>
      </c>
      <c r="N41" s="41"/>
      <c r="O41" s="41" t="s">
        <v>609</v>
      </c>
      <c r="P41" s="19" t="s">
        <v>29</v>
      </c>
      <c r="Q41" s="40" t="s">
        <v>561</v>
      </c>
    </row>
    <row r="42" spans="1:17" x14ac:dyDescent="0.25">
      <c r="A42" s="45">
        <v>45599.844155092593</v>
      </c>
      <c r="B42" s="41" t="s">
        <v>641</v>
      </c>
      <c r="C42" s="41"/>
      <c r="D42" s="19">
        <v>42506753</v>
      </c>
      <c r="E42" s="19"/>
      <c r="F42" s="41"/>
      <c r="G42" s="18" t="s">
        <v>642</v>
      </c>
      <c r="H42" s="47" t="s">
        <v>21</v>
      </c>
      <c r="I42" s="19" t="str">
        <f>_xlfn.CONCAT(P42,CHAR(10),
       IF(AND(O42&lt;&gt;"", K42&lt;&gt;""),
          "Situación: " &amp; O42 &amp; CHAR(10) &amp; "Calificación: " &amp; K42 &amp; "%" &amp; CHAR(10),
          IF(O42&lt;&gt;"",
             "Situación: " &amp; O42 &amp; CHAR(10),
             IF(K42&lt;&gt;"",
                "Calificación: " &amp; K42 &amp; "%" &amp; CHAR(10),
                CHAR(10)))),
       "Meses: ", L42, CHAR(10),
       "Score: ", M42, CHAR(10),
       "Banco: ", N42
)</f>
        <v xml:space="preserve">Lo mas pronto
Situación: MAL SBS
Meses: 
Score: 348
Banco: </v>
      </c>
      <c r="J42" s="41" t="s">
        <v>164</v>
      </c>
      <c r="K42" s="41"/>
      <c r="L42" s="41"/>
      <c r="M42" s="41">
        <v>348</v>
      </c>
      <c r="N42" s="41"/>
      <c r="O42" s="41" t="s">
        <v>590</v>
      </c>
      <c r="P42" s="19" t="s">
        <v>29</v>
      </c>
      <c r="Q42" s="40" t="s">
        <v>561</v>
      </c>
    </row>
    <row r="43" spans="1:17" x14ac:dyDescent="0.25">
      <c r="A43" s="45">
        <v>45599.825555555559</v>
      </c>
      <c r="B43" s="41" t="s">
        <v>643</v>
      </c>
      <c r="C43" s="41"/>
      <c r="D43" s="19">
        <v>46633987</v>
      </c>
      <c r="E43" s="19"/>
      <c r="F43" s="41"/>
      <c r="G43" s="18" t="s">
        <v>644</v>
      </c>
      <c r="H43" s="47" t="s">
        <v>21</v>
      </c>
      <c r="I43" s="19" t="str">
        <f>_xlfn.CONCAT(P43,CHAR(10),
       IF(AND(O43&lt;&gt;"", K43&lt;&gt;""),
          "Situación: " &amp; O43 &amp; CHAR(10) &amp; "Calificación: " &amp; K43 &amp; "%" &amp; CHAR(10),
          IF(O43&lt;&gt;"",
             "Situación: " &amp; O43 &amp; CHAR(10),
             IF(K43&lt;&gt;"",
                "Calificación: " &amp; K43 &amp; "%" &amp; CHAR(10),
                CHAR(10)))),
       "Meses: ", L43, CHAR(10),
       "Score: ", M43, CHAR(10),
       "Banco: ", N43
)</f>
        <v xml:space="preserve">El próximo año
Situación: BAJO SCORE
Meses: 
Score: 301
Banco: </v>
      </c>
      <c r="J43" s="41" t="s">
        <v>126</v>
      </c>
      <c r="K43" s="41"/>
      <c r="L43" s="41"/>
      <c r="M43" s="41">
        <v>301</v>
      </c>
      <c r="N43" s="41"/>
      <c r="O43" s="41" t="s">
        <v>609</v>
      </c>
      <c r="P43" s="19" t="s">
        <v>34</v>
      </c>
      <c r="Q43" s="40" t="s">
        <v>561</v>
      </c>
    </row>
    <row r="44" spans="1:17" x14ac:dyDescent="0.25">
      <c r="A44" s="45">
        <v>45599.807060185187</v>
      </c>
      <c r="B44" s="41" t="s">
        <v>645</v>
      </c>
      <c r="C44" s="41"/>
      <c r="D44" s="19">
        <v>17913817</v>
      </c>
      <c r="E44" s="19"/>
      <c r="F44" s="41"/>
      <c r="G44" s="18" t="s">
        <v>646</v>
      </c>
      <c r="H44" s="47" t="s">
        <v>21</v>
      </c>
      <c r="I44" s="19" t="str">
        <f>_xlfn.CONCAT(P44,CHAR(10),
       IF(AND(O44&lt;&gt;"", K44&lt;&gt;""),
          "Situación: " &amp; O44 &amp; CHAR(10) &amp; "Calificación: " &amp; K44 &amp; "%" &amp; CHAR(10),
          IF(O44&lt;&gt;"",
             "Situación: " &amp; O44 &amp; CHAR(10),
             IF(K44&lt;&gt;"",
                "Calificación: " &amp; K44 &amp; "%" &amp; CHAR(10),
                CHAR(10)))),
       "Meses: ", L44, CHAR(10),
       "Score: ", M44, CHAR(10),
       "Banco: ", N44
)</f>
        <v xml:space="preserve">Para diciembre de este año
Situación: POR EDAD NO CALIFICA
Meses: 
Score: 443
Banco: </v>
      </c>
      <c r="J44" s="41" t="s">
        <v>164</v>
      </c>
      <c r="K44" s="19"/>
      <c r="L44" s="41"/>
      <c r="M44" s="41">
        <v>443</v>
      </c>
      <c r="N44" s="41"/>
      <c r="O44" s="19" t="s">
        <v>311</v>
      </c>
      <c r="P44" s="19" t="s">
        <v>22</v>
      </c>
      <c r="Q44" s="40" t="s">
        <v>561</v>
      </c>
    </row>
    <row r="45" spans="1:17" x14ac:dyDescent="0.25">
      <c r="A45" s="45">
        <v>45599.744583333333</v>
      </c>
      <c r="B45" s="41" t="s">
        <v>647</v>
      </c>
      <c r="C45" s="41"/>
      <c r="D45" s="19">
        <v>70525442</v>
      </c>
      <c r="E45" s="19"/>
      <c r="F45" s="41"/>
      <c r="G45" s="18" t="s">
        <v>648</v>
      </c>
      <c r="H45" s="47" t="s">
        <v>21</v>
      </c>
      <c r="I45" s="19" t="str">
        <f>_xlfn.CONCAT(P45,CHAR(10),
       IF(AND(O45&lt;&gt;"", K45&lt;&gt;""),
          "Situación: " &amp; O45 &amp; CHAR(10) &amp; "Calificación: " &amp; K45 &amp; "%" &amp; CHAR(10),
          IF(O45&lt;&gt;"",
             "Situación: " &amp; O45 &amp; CHAR(10),
             IF(K45&lt;&gt;"",
                "Calificación: " &amp; K45 &amp; "%" &amp; CHAR(10),
                CHAR(10)))),
       "Meses: ", L45, CHAR(10),
       "Score: ", M45, CHAR(10),
       "Banco: ", N45
)</f>
        <v xml:space="preserve">El próximo año
Situación: BAJO SCORE
Meses: 
Score: 273
Banco: </v>
      </c>
      <c r="J45" s="41" t="s">
        <v>126</v>
      </c>
      <c r="K45" s="41"/>
      <c r="L45" s="41"/>
      <c r="M45" s="41">
        <v>273</v>
      </c>
      <c r="N45" s="41"/>
      <c r="O45" s="41" t="s">
        <v>609</v>
      </c>
      <c r="P45" s="19" t="s">
        <v>34</v>
      </c>
      <c r="Q45" s="40" t="s">
        <v>561</v>
      </c>
    </row>
    <row r="46" spans="1:17" x14ac:dyDescent="0.25">
      <c r="A46" s="45">
        <v>45599.68041666667</v>
      </c>
      <c r="B46" s="41" t="s">
        <v>649</v>
      </c>
      <c r="C46" s="41"/>
      <c r="D46" s="19">
        <v>48935486</v>
      </c>
      <c r="E46" s="19"/>
      <c r="F46" s="41"/>
      <c r="G46" s="18" t="s">
        <v>650</v>
      </c>
      <c r="H46" s="47" t="s">
        <v>21</v>
      </c>
      <c r="I46" s="19" t="str">
        <f>_xlfn.CONCAT(P46,CHAR(10),
       IF(AND(O46&lt;&gt;"", K46&lt;&gt;""),
          "Situación: " &amp; O46 &amp; CHAR(10) &amp; "Calificación: " &amp; K46 &amp; "%" &amp; CHAR(10),
          IF(O46&lt;&gt;"",
             "Situación: " &amp; O46 &amp; CHAR(10),
             IF(K46&lt;&gt;"",
                "Calificación: " &amp; K46 &amp; "%" &amp; CHAR(10),
                CHAR(10)))),
       "Meses: ", L46, CHAR(10),
       "Score: ", M46, CHAR(10),
       "Banco: ", N46
)</f>
        <v xml:space="preserve">El próximo año
Calificación: 20%
Meses: 6
Score: 380
Banco: </v>
      </c>
      <c r="J46" s="41" t="s">
        <v>156</v>
      </c>
      <c r="K46" s="41">
        <v>20</v>
      </c>
      <c r="L46" s="41">
        <v>6</v>
      </c>
      <c r="M46" s="41">
        <v>380</v>
      </c>
      <c r="N46" s="41"/>
      <c r="O46" s="41"/>
      <c r="P46" s="19" t="s">
        <v>34</v>
      </c>
      <c r="Q46" s="40" t="s">
        <v>561</v>
      </c>
    </row>
    <row r="47" spans="1:17" x14ac:dyDescent="0.25">
      <c r="A47" s="45">
        <v>45599</v>
      </c>
      <c r="B47" s="41" t="s">
        <v>651</v>
      </c>
      <c r="C47" s="41"/>
      <c r="D47" s="19">
        <v>5281838</v>
      </c>
      <c r="E47" s="19"/>
      <c r="F47" s="41"/>
      <c r="G47" s="18" t="s">
        <v>652</v>
      </c>
      <c r="H47" s="47" t="s">
        <v>21</v>
      </c>
      <c r="I47" s="19" t="str">
        <f>_xlfn.CONCAT(P47,CHAR(10),
       IF(AND(O47&lt;&gt;"", K47&lt;&gt;""),
          "Situación: " &amp; O47 &amp; CHAR(10) &amp; "Calificación: " &amp; K47 &amp; "%" &amp; CHAR(10),
          IF(O47&lt;&gt;"",
             "Situación: " &amp; O47 &amp; CHAR(10),
             IF(K47&lt;&gt;"",
                "Calificación: " &amp; K47 &amp; "%" &amp; CHAR(10),
                CHAR(10)))),
       "Meses: ", L47, CHAR(10),
       "Score: ", M47, CHAR(10),
       "Banco: ", N47
)</f>
        <v xml:space="preserve">El próximo año
Situación: DNI NO VALIDO
Meses: 
Score: -
Banco: </v>
      </c>
      <c r="J47" s="41"/>
      <c r="K47" s="19"/>
      <c r="L47" s="41"/>
      <c r="M47" s="41" t="s">
        <v>402</v>
      </c>
      <c r="N47" s="41"/>
      <c r="O47" s="19" t="s">
        <v>401</v>
      </c>
      <c r="P47" s="19" t="s">
        <v>34</v>
      </c>
      <c r="Q47" s="40" t="s">
        <v>561</v>
      </c>
    </row>
    <row r="48" spans="1:17" x14ac:dyDescent="0.25">
      <c r="A48" s="45">
        <v>45599</v>
      </c>
      <c r="B48" s="41" t="s">
        <v>653</v>
      </c>
      <c r="C48" s="41"/>
      <c r="D48" s="19">
        <v>47681417</v>
      </c>
      <c r="E48" s="19"/>
      <c r="F48" s="41"/>
      <c r="G48" s="18" t="s">
        <v>654</v>
      </c>
      <c r="H48" s="47" t="s">
        <v>21</v>
      </c>
      <c r="I48" s="19" t="str">
        <f>_xlfn.CONCAT(P48,CHAR(10),
       IF(AND(O48&lt;&gt;"", K48&lt;&gt;""),
          "Situación: " &amp; O48 &amp; CHAR(10) &amp; "Calificación: " &amp; K48 &amp; "%" &amp; CHAR(10),
          IF(O48&lt;&gt;"",
             "Situación: " &amp; O48 &amp; CHAR(10),
             IF(K48&lt;&gt;"",
                "Calificación: " &amp; K48 &amp; "%" &amp; CHAR(10),
                CHAR(10)))),
       "Meses: ", L48, CHAR(10),
       "Score: ", M48, CHAR(10),
       "Banco: ", N48
)</f>
        <v xml:space="preserve">Para diciembre de este año
Situación: HIPOTECARIO VIGENTE
Meses: 
Score: 433
Banco: </v>
      </c>
      <c r="J48" s="41" t="s">
        <v>164</v>
      </c>
      <c r="K48" s="19"/>
      <c r="L48" s="41"/>
      <c r="M48" s="41">
        <v>433</v>
      </c>
      <c r="N48" s="41"/>
      <c r="O48" s="19" t="s">
        <v>655</v>
      </c>
      <c r="P48" s="19" t="s">
        <v>22</v>
      </c>
      <c r="Q48" s="40" t="s">
        <v>561</v>
      </c>
    </row>
    <row r="49" spans="1:17" x14ac:dyDescent="0.25">
      <c r="A49" s="45">
        <v>45599</v>
      </c>
      <c r="B49" s="41" t="s">
        <v>656</v>
      </c>
      <c r="C49" s="41"/>
      <c r="D49" s="19">
        <v>75251983</v>
      </c>
      <c r="E49" s="19"/>
      <c r="F49" s="41"/>
      <c r="G49" s="18" t="s">
        <v>657</v>
      </c>
      <c r="H49" s="47" t="s">
        <v>21</v>
      </c>
      <c r="I49" s="19" t="str">
        <f>_xlfn.CONCAT(P49,CHAR(10),
       IF(AND(O49&lt;&gt;"", K49&lt;&gt;""),
          "Situación: " &amp; O49 &amp; CHAR(10) &amp; "Calificación: " &amp; K49 &amp; "%" &amp; CHAR(10),
          IF(O49&lt;&gt;"",
             "Situación: " &amp; O49 &amp; CHAR(10),
             IF(K49&lt;&gt;"",
                "Calificación: " &amp; K49 &amp; "%" &amp; CHAR(10),
                CHAR(10)))),
       "Meses: ", L49, CHAR(10),
       "Score: ", M49, CHAR(10),
       "Banco: ", N49
)</f>
        <v xml:space="preserve">El próximo año
Situación: MAL SBS
Meses: 
Score: 352
Banco: </v>
      </c>
      <c r="J49" s="41" t="s">
        <v>164</v>
      </c>
      <c r="K49" s="41"/>
      <c r="L49" s="41"/>
      <c r="M49" s="41">
        <v>352</v>
      </c>
      <c r="N49" s="41"/>
      <c r="O49" s="41" t="s">
        <v>590</v>
      </c>
      <c r="P49" s="19" t="s">
        <v>34</v>
      </c>
      <c r="Q49" s="40" t="s">
        <v>561</v>
      </c>
    </row>
    <row r="50" spans="1:17" x14ac:dyDescent="0.25">
      <c r="A50" s="45">
        <v>45599</v>
      </c>
      <c r="B50" s="41" t="s">
        <v>658</v>
      </c>
      <c r="C50" s="41"/>
      <c r="D50" s="19">
        <v>48553587</v>
      </c>
      <c r="E50" s="19"/>
      <c r="F50" s="41"/>
      <c r="G50" s="18" t="s">
        <v>659</v>
      </c>
      <c r="H50" s="47" t="s">
        <v>21</v>
      </c>
      <c r="I50" s="19" t="str">
        <f>_xlfn.CONCAT(P50,CHAR(10),
       IF(AND(O50&lt;&gt;"", K50&lt;&gt;""),
          "Situación: " &amp; O50 &amp; CHAR(10) &amp; "Calificación: " &amp; K50 &amp; "%" &amp; CHAR(10),
          IF(O50&lt;&gt;"",
             "Situación: " &amp; O50 &amp; CHAR(10),
             IF(K50&lt;&gt;"",
                "Calificación: " &amp; K50 &amp; "%" &amp; CHAR(10),
                CHAR(10)))),
       "Meses: ", L50, CHAR(10),
       "Score: ", M50, CHAR(10),
       "Banco: ", N50
)</f>
        <v xml:space="preserve">El próximo año
Situación: MAL SBS
Meses: 
Score: 330
Banco: </v>
      </c>
      <c r="J50" s="41" t="s">
        <v>126</v>
      </c>
      <c r="K50" s="41"/>
      <c r="L50" s="41"/>
      <c r="M50" s="41">
        <v>330</v>
      </c>
      <c r="N50" s="41"/>
      <c r="O50" s="41" t="s">
        <v>590</v>
      </c>
      <c r="P50" s="19" t="s">
        <v>34</v>
      </c>
      <c r="Q50" s="40" t="s">
        <v>561</v>
      </c>
    </row>
    <row r="51" spans="1:17" x14ac:dyDescent="0.25">
      <c r="A51" s="45">
        <v>45599</v>
      </c>
      <c r="B51" s="41" t="s">
        <v>660</v>
      </c>
      <c r="C51" s="41"/>
      <c r="D51" s="19">
        <v>16719503</v>
      </c>
      <c r="E51" s="19"/>
      <c r="F51" s="41"/>
      <c r="G51" s="18" t="s">
        <v>661</v>
      </c>
      <c r="H51" s="47" t="s">
        <v>253</v>
      </c>
      <c r="I51" s="19" t="str">
        <f>_xlfn.CONCAT(P51,CHAR(10),
       IF(AND(O51&lt;&gt;"", K51&lt;&gt;""),
          "Situación: " &amp; O51 &amp; CHAR(10) &amp; "Calificación: " &amp; K51 &amp; "%" &amp; CHAR(10),
          IF(O51&lt;&gt;"",
             "Situación: " &amp; O51 &amp; CHAR(10),
             IF(K51&lt;&gt;"",
                "Calificación: " &amp; K51 &amp; "%" &amp; CHAR(10),
                CHAR(10)))),
       "Meses: ", L51, CHAR(10),
       "Score: ", M51, CHAR(10),
       "Banco: ", N51
)</f>
        <v xml:space="preserve">Para diciembre de este año
Situación: BAJO SCORE / MAL SBS
Meses: 
Score: 323
Banco: </v>
      </c>
      <c r="J51" s="41" t="s">
        <v>126</v>
      </c>
      <c r="K51" s="41"/>
      <c r="L51" s="41"/>
      <c r="M51" s="41">
        <v>323</v>
      </c>
      <c r="N51" s="41"/>
      <c r="O51" s="41" t="s">
        <v>628</v>
      </c>
      <c r="P51" s="19" t="s">
        <v>22</v>
      </c>
      <c r="Q51" s="40" t="s">
        <v>561</v>
      </c>
    </row>
    <row r="52" spans="1:17" x14ac:dyDescent="0.25">
      <c r="A52" s="45">
        <v>45599</v>
      </c>
      <c r="B52" s="41" t="s">
        <v>662</v>
      </c>
      <c r="C52" s="41"/>
      <c r="D52" s="19">
        <v>77135700</v>
      </c>
      <c r="E52" s="19"/>
      <c r="F52" s="41"/>
      <c r="G52" s="18" t="s">
        <v>663</v>
      </c>
      <c r="H52" s="47" t="s">
        <v>21</v>
      </c>
      <c r="I52" s="19" t="str">
        <f>_xlfn.CONCAT(P52,CHAR(10),
       IF(AND(O52&lt;&gt;"", K52&lt;&gt;""),
          "Situación: " &amp; O52 &amp; CHAR(10) &amp; "Calificación: " &amp; K52 &amp; "%" &amp; CHAR(10),
          IF(O52&lt;&gt;"",
             "Situación: " &amp; O52 &amp; CHAR(10),
             IF(K52&lt;&gt;"",
                "Calificación: " &amp; K52 &amp; "%" &amp; CHAR(10),
                CHAR(10)))),
       "Meses: ", L52, CHAR(10),
       "Score: ", M52, CHAR(10),
       "Banco: ", N52
)</f>
        <v xml:space="preserve">Para diciembre de este año
Calificación: 10%
Meses: 6
Score: 450
Banco: </v>
      </c>
      <c r="J52" s="41" t="s">
        <v>156</v>
      </c>
      <c r="K52" s="41">
        <v>10</v>
      </c>
      <c r="L52" s="41">
        <v>6</v>
      </c>
      <c r="M52" s="41">
        <v>450</v>
      </c>
      <c r="N52" s="41"/>
      <c r="O52" s="41"/>
      <c r="P52" s="19" t="s">
        <v>22</v>
      </c>
      <c r="Q52" s="40" t="s">
        <v>561</v>
      </c>
    </row>
    <row r="53" spans="1:17" x14ac:dyDescent="0.25">
      <c r="A53" s="45">
        <v>45599</v>
      </c>
      <c r="B53" s="41" t="s">
        <v>664</v>
      </c>
      <c r="C53" s="41"/>
      <c r="D53" s="19">
        <v>44107120</v>
      </c>
      <c r="E53" s="19"/>
      <c r="F53" s="41"/>
      <c r="G53" s="18" t="s">
        <v>665</v>
      </c>
      <c r="H53" s="47" t="s">
        <v>21</v>
      </c>
      <c r="I53" s="19" t="str">
        <f>_xlfn.CONCAT(P53,CHAR(10),
       IF(AND(O53&lt;&gt;"", K53&lt;&gt;""),
          "Situación: " &amp; O53 &amp; CHAR(10) &amp; "Calificación: " &amp; K53 &amp; "%" &amp; CHAR(10),
          IF(O53&lt;&gt;"",
             "Situación: " &amp; O53 &amp; CHAR(10),
             IF(K53&lt;&gt;"",
                "Calificación: " &amp; K53 &amp; "%" &amp; CHAR(10),
                CHAR(10)))),
       "Meses: ", L53, CHAR(10),
       "Score: ", M53, CHAR(10),
       "Banco: ", N53
)</f>
        <v xml:space="preserve">El próximo año
Situación: BAJO SCORE
Meses: 
Score: 303
Banco: </v>
      </c>
      <c r="J53" s="41" t="s">
        <v>126</v>
      </c>
      <c r="K53" s="41"/>
      <c r="L53" s="41"/>
      <c r="M53" s="41">
        <v>303</v>
      </c>
      <c r="N53" s="41"/>
      <c r="O53" s="41" t="s">
        <v>609</v>
      </c>
      <c r="P53" s="19" t="s">
        <v>34</v>
      </c>
      <c r="Q53" s="40" t="s">
        <v>561</v>
      </c>
    </row>
    <row r="54" spans="1:17" x14ac:dyDescent="0.25">
      <c r="A54" s="45">
        <v>45599</v>
      </c>
      <c r="B54" s="41" t="s">
        <v>666</v>
      </c>
      <c r="C54" s="41"/>
      <c r="D54" s="19">
        <v>71225262</v>
      </c>
      <c r="E54" s="19"/>
      <c r="F54" s="41"/>
      <c r="G54" s="18" t="s">
        <v>667</v>
      </c>
      <c r="H54" s="47" t="s">
        <v>21</v>
      </c>
      <c r="I54" s="19" t="str">
        <f>_xlfn.CONCAT(P54,CHAR(10),
       IF(AND(O54&lt;&gt;"", K54&lt;&gt;""),
          "Situación: " &amp; O54 &amp; CHAR(10) &amp; "Calificación: " &amp; K54 &amp; "%" &amp; CHAR(10),
          IF(O54&lt;&gt;"",
             "Situación: " &amp; O54 &amp; CHAR(10),
             IF(K54&lt;&gt;"",
                "Calificación: " &amp; K54 &amp; "%" &amp; CHAR(10),
                CHAR(10)))),
       "Meses: ", L54, CHAR(10),
       "Score: ", M54, CHAR(10),
       "Banco: ", N54
)</f>
        <v xml:space="preserve">El próximo año
Calificación: 10%
Meses: 4
Score: 393
Banco: </v>
      </c>
      <c r="J54" s="41" t="s">
        <v>156</v>
      </c>
      <c r="K54" s="19">
        <v>10</v>
      </c>
      <c r="L54" s="41">
        <v>4</v>
      </c>
      <c r="M54" s="41">
        <v>393</v>
      </c>
      <c r="N54" s="41"/>
      <c r="O54" s="19"/>
      <c r="P54" s="19" t="s">
        <v>34</v>
      </c>
      <c r="Q54" s="40" t="s">
        <v>561</v>
      </c>
    </row>
    <row r="55" spans="1:17" x14ac:dyDescent="0.25">
      <c r="A55" s="45">
        <v>45599</v>
      </c>
      <c r="B55" s="41" t="s">
        <v>668</v>
      </c>
      <c r="C55" s="41"/>
      <c r="D55" s="19">
        <v>72220482</v>
      </c>
      <c r="E55" s="19"/>
      <c r="F55" s="41"/>
      <c r="G55" s="18" t="s">
        <v>669</v>
      </c>
      <c r="H55" s="47" t="s">
        <v>21</v>
      </c>
      <c r="I55" s="19" t="str">
        <f>_xlfn.CONCAT(P55,CHAR(10),
       IF(AND(O55&lt;&gt;"", K55&lt;&gt;""),
          "Situación: " &amp; O55 &amp; CHAR(10) &amp; "Calificación: " &amp; K55 &amp; "%" &amp; CHAR(10),
          IF(O55&lt;&gt;"",
             "Situación: " &amp; O55 &amp; CHAR(10),
             IF(K55&lt;&gt;"",
                "Calificación: " &amp; K55 &amp; "%" &amp; CHAR(10),
                CHAR(10)))),
       "Meses: ", L55, CHAR(10),
       "Score: ", M55, CHAR(10),
       "Banco: ", N55
)</f>
        <v xml:space="preserve">El próximo año
Calificación: 10%
Meses: 4
Score: 386
Banco: </v>
      </c>
      <c r="J55" s="41" t="s">
        <v>156</v>
      </c>
      <c r="K55" s="19">
        <v>10</v>
      </c>
      <c r="L55" s="41">
        <v>4</v>
      </c>
      <c r="M55" s="41">
        <v>386</v>
      </c>
      <c r="N55" s="41"/>
      <c r="O55" s="19"/>
      <c r="P55" s="19" t="s">
        <v>34</v>
      </c>
      <c r="Q55" s="40" t="s">
        <v>561</v>
      </c>
    </row>
    <row r="56" spans="1:17" x14ac:dyDescent="0.25">
      <c r="A56" s="45">
        <v>45599</v>
      </c>
      <c r="B56" s="41" t="s">
        <v>670</v>
      </c>
      <c r="C56" s="41"/>
      <c r="D56" s="19">
        <v>72286785</v>
      </c>
      <c r="E56" s="19"/>
      <c r="F56" s="41"/>
      <c r="G56" s="18" t="s">
        <v>671</v>
      </c>
      <c r="H56" s="47" t="s">
        <v>672</v>
      </c>
      <c r="I56" s="19" t="str">
        <f>_xlfn.CONCAT(P56,CHAR(10),
       IF(AND(O56&lt;&gt;"", K56&lt;&gt;""),
          "Situación: " &amp; O56 &amp; CHAR(10) &amp; "Calificación: " &amp; K56 &amp; "%" &amp; CHAR(10),
          IF(O56&lt;&gt;"",
             "Situación: " &amp; O56 &amp; CHAR(10),
             IF(K56&lt;&gt;"",
                "Calificación: " &amp; K56 &amp; "%" &amp; CHAR(10),
                CHAR(10)))),
       "Meses: ", L56, CHAR(10),
       "Score: ", M56, CHAR(10),
       "Banco: ", N56
)</f>
        <v xml:space="preserve">Lo mas pronto
Calificación: 10%
Meses: 6
Score: 416
Banco: </v>
      </c>
      <c r="J56" s="41" t="s">
        <v>156</v>
      </c>
      <c r="K56" s="41">
        <v>10</v>
      </c>
      <c r="L56" s="41">
        <v>6</v>
      </c>
      <c r="M56" s="41">
        <v>416</v>
      </c>
      <c r="N56" s="41"/>
      <c r="O56" s="41"/>
      <c r="P56" s="19" t="s">
        <v>29</v>
      </c>
      <c r="Q56" s="40" t="s">
        <v>561</v>
      </c>
    </row>
    <row r="57" spans="1:17" x14ac:dyDescent="0.25">
      <c r="A57" s="45">
        <v>45599</v>
      </c>
      <c r="B57" s="41" t="s">
        <v>673</v>
      </c>
      <c r="C57" s="41"/>
      <c r="D57" s="19">
        <v>75459576</v>
      </c>
      <c r="E57" s="19"/>
      <c r="F57" s="41"/>
      <c r="G57" s="18" t="s">
        <v>674</v>
      </c>
      <c r="H57" s="47" t="s">
        <v>21</v>
      </c>
      <c r="I57" s="19" t="str">
        <f>_xlfn.CONCAT(P57,CHAR(10),
       IF(AND(O57&lt;&gt;"", K57&lt;&gt;""),
          "Situación: " &amp; O57 &amp; CHAR(10) &amp; "Calificación: " &amp; K57 &amp; "%" &amp; CHAR(10),
          IF(O57&lt;&gt;"",
             "Situación: " &amp; O57 &amp; CHAR(10),
             IF(K57&lt;&gt;"",
                "Calificación: " &amp; K57 &amp; "%" &amp; CHAR(10),
                CHAR(10)))),
       "Meses: ", L57, CHAR(10),
       "Score: ", M57, CHAR(10),
       "Banco: ", N57
)</f>
        <v xml:space="preserve">Para diciembre de este año
Calificación: 10%
Meses: 6
Score: 505
Banco: </v>
      </c>
      <c r="J57" s="41" t="s">
        <v>156</v>
      </c>
      <c r="K57" s="41">
        <v>10</v>
      </c>
      <c r="L57" s="41">
        <v>6</v>
      </c>
      <c r="M57" s="41">
        <v>505</v>
      </c>
      <c r="N57" s="41"/>
      <c r="O57" s="41"/>
      <c r="P57" s="19" t="s">
        <v>22</v>
      </c>
      <c r="Q57" s="40" t="s">
        <v>561</v>
      </c>
    </row>
    <row r="58" spans="1:17" x14ac:dyDescent="0.25">
      <c r="A58" s="45">
        <v>45599</v>
      </c>
      <c r="B58" s="41" t="s">
        <v>675</v>
      </c>
      <c r="C58" s="41"/>
      <c r="D58" s="19">
        <v>70038976</v>
      </c>
      <c r="E58" s="19"/>
      <c r="F58" s="41"/>
      <c r="G58" s="18" t="s">
        <v>676</v>
      </c>
      <c r="H58" s="47" t="s">
        <v>48</v>
      </c>
      <c r="I58" s="19" t="str">
        <f>_xlfn.CONCAT(P58,CHAR(10),
       IF(AND(O58&lt;&gt;"", K58&lt;&gt;""),
          "Situación: " &amp; O58 &amp; CHAR(10) &amp; "Calificación: " &amp; K58 &amp; "%" &amp; CHAR(10),
          IF(O58&lt;&gt;"",
             "Situación: " &amp; O58 &amp; CHAR(10),
             IF(K58&lt;&gt;"",
                "Calificación: " &amp; K58 &amp; "%" &amp; CHAR(10),
                CHAR(10)))),
       "Meses: ", L58, CHAR(10),
       "Score: ", M58, CHAR(10),
       "Banco: ", N58
)</f>
        <v xml:space="preserve">Para diciembre de este año
Calificación: 20%
Meses: 9
Score: 381
Banco: </v>
      </c>
      <c r="J58" s="41" t="s">
        <v>156</v>
      </c>
      <c r="K58" s="41">
        <v>20</v>
      </c>
      <c r="L58" s="41">
        <v>9</v>
      </c>
      <c r="M58" s="41">
        <v>381</v>
      </c>
      <c r="N58" s="41"/>
      <c r="O58" s="41"/>
      <c r="P58" s="19" t="s">
        <v>22</v>
      </c>
      <c r="Q58" s="40" t="s">
        <v>561</v>
      </c>
    </row>
    <row r="59" spans="1:17" x14ac:dyDescent="0.25">
      <c r="A59" s="45">
        <v>45599</v>
      </c>
      <c r="B59" s="41" t="s">
        <v>677</v>
      </c>
      <c r="C59" s="41"/>
      <c r="D59" s="19">
        <v>70162826</v>
      </c>
      <c r="E59" s="19"/>
      <c r="F59" s="41"/>
      <c r="G59" s="18" t="s">
        <v>678</v>
      </c>
      <c r="H59" s="47" t="s">
        <v>21</v>
      </c>
      <c r="I59" s="19" t="str">
        <f>_xlfn.CONCAT(P59,CHAR(10),
       IF(AND(O59&lt;&gt;"", K59&lt;&gt;""),
          "Situación: " &amp; O59 &amp; CHAR(10) &amp; "Calificación: " &amp; K59 &amp; "%" &amp; CHAR(10),
          IF(O59&lt;&gt;"",
             "Situación: " &amp; O59 &amp; CHAR(10),
             IF(K59&lt;&gt;"",
                "Calificación: " &amp; K59 &amp; "%" &amp; CHAR(10),
                CHAR(10)))),
       "Meses: ", L59, CHAR(10),
       "Score: ", M59, CHAR(10),
       "Banco: ", N59
)</f>
        <v xml:space="preserve">Lo mas pronto
Calificación: 10%
Meses: 6
Score: 392
Banco: </v>
      </c>
      <c r="J59" s="41" t="s">
        <v>156</v>
      </c>
      <c r="K59" s="41">
        <v>10</v>
      </c>
      <c r="L59" s="41">
        <v>6</v>
      </c>
      <c r="M59" s="41">
        <v>392</v>
      </c>
      <c r="N59" s="41"/>
      <c r="O59" s="41"/>
      <c r="P59" s="19" t="s">
        <v>29</v>
      </c>
      <c r="Q59" s="40" t="s">
        <v>561</v>
      </c>
    </row>
    <row r="60" spans="1:17" x14ac:dyDescent="0.25">
      <c r="A60" s="45">
        <v>45599</v>
      </c>
      <c r="B60" s="41" t="s">
        <v>679</v>
      </c>
      <c r="C60" s="41"/>
      <c r="D60" s="19">
        <v>46567345</v>
      </c>
      <c r="E60" s="19"/>
      <c r="F60" s="41"/>
      <c r="G60" s="18" t="s">
        <v>680</v>
      </c>
      <c r="H60" s="19"/>
      <c r="I60" s="19" t="str">
        <f>_xlfn.CONCAT(P60,CHAR(10),
       IF(AND(O60&lt;&gt;"", K60&lt;&gt;""),
          "Situación: " &amp; O60 &amp; CHAR(10) &amp; "Calificación: " &amp; K60 &amp; "%" &amp; CHAR(10),
          IF(O60&lt;&gt;"",
             "Situación: " &amp; O60 &amp; CHAR(10),
             IF(K60&lt;&gt;"",
                "Calificación: " &amp; K60 &amp; "%" &amp; CHAR(10),
                CHAR(10)))),
       "Meses: ", L60, CHAR(10),
       "Score: ", M60, CHAR(10),
       "Banco: ", N60
)</f>
        <v xml:space="preserve">De WhatsApp
Calificación: 20%
Meses: 9
Score: 356
Banco: </v>
      </c>
      <c r="J60" s="41" t="s">
        <v>156</v>
      </c>
      <c r="K60" s="41">
        <v>20</v>
      </c>
      <c r="L60" s="41">
        <v>9</v>
      </c>
      <c r="M60" s="41">
        <v>356</v>
      </c>
      <c r="N60" s="41"/>
      <c r="O60" s="41"/>
      <c r="P60" s="41" t="s">
        <v>568</v>
      </c>
      <c r="Q60" s="40" t="s">
        <v>561</v>
      </c>
    </row>
    <row r="61" spans="1:17" x14ac:dyDescent="0.25">
      <c r="A61" s="45">
        <v>45599</v>
      </c>
      <c r="B61" s="41" t="s">
        <v>681</v>
      </c>
      <c r="C61" s="41"/>
      <c r="D61" s="19">
        <v>46203037</v>
      </c>
      <c r="E61" s="19"/>
      <c r="F61" s="41"/>
      <c r="G61" s="18" t="s">
        <v>23</v>
      </c>
      <c r="H61" s="19"/>
      <c r="I61" s="19" t="str">
        <f>_xlfn.CONCAT(P61,CHAR(10),
       IF(AND(O61&lt;&gt;"", K61&lt;&gt;""),
          "Situación: " &amp; O61 &amp; CHAR(10) &amp; "Calificación: " &amp; K61 &amp; "%" &amp; CHAR(10),
          IF(O61&lt;&gt;"",
             "Situación: " &amp; O61 &amp; CHAR(10),
             IF(K61&lt;&gt;"",
                "Calificación: " &amp; K61 &amp; "%" &amp; CHAR(10),
                CHAR(10)))),
       "Meses: ", L61, CHAR(10),
       "Score: ", M61, CHAR(10),
       "Banco: ", N61
)</f>
        <v xml:space="preserve">De WhatsApp
Calificación: 10%
Meses: 6
Score: 417
Banco: </v>
      </c>
      <c r="J61" s="41" t="s">
        <v>156</v>
      </c>
      <c r="K61" s="41">
        <v>10</v>
      </c>
      <c r="L61" s="41">
        <v>6</v>
      </c>
      <c r="M61" s="41">
        <v>417</v>
      </c>
      <c r="N61" s="41"/>
      <c r="O61" s="41"/>
      <c r="P61" s="41" t="s">
        <v>568</v>
      </c>
      <c r="Q61" s="40" t="s">
        <v>561</v>
      </c>
    </row>
    <row r="62" spans="1:17" x14ac:dyDescent="0.25">
      <c r="A62" s="45">
        <v>45599</v>
      </c>
      <c r="B62" s="41" t="s">
        <v>682</v>
      </c>
      <c r="C62" s="41"/>
      <c r="D62" s="19">
        <v>19082024</v>
      </c>
      <c r="E62" s="19"/>
      <c r="F62" s="41"/>
      <c r="G62" s="18" t="s">
        <v>683</v>
      </c>
      <c r="H62" s="19"/>
      <c r="I62" s="19" t="str">
        <f>_xlfn.CONCAT(P62,CHAR(10),
       IF(AND(O62&lt;&gt;"", K62&lt;&gt;""),
          "Situación: " &amp; O62 &amp; CHAR(10) &amp; "Calificación: " &amp; K62 &amp; "%" &amp; CHAR(10),
          IF(O62&lt;&gt;"",
             "Situación: " &amp; O62 &amp; CHAR(10),
             IF(K62&lt;&gt;"",
                "Calificación: " &amp; K62 &amp; "%" &amp; CHAR(10),
                CHAR(10)))),
       "Meses: ", L62, CHAR(10),
       "Score: ", M62, CHAR(10),
       "Banco: ", N62
)</f>
        <v xml:space="preserve">De WhatsApp
Situación: BAJO SCORE
Meses: 
Score: 302
Banco: </v>
      </c>
      <c r="J62" s="41" t="s">
        <v>126</v>
      </c>
      <c r="K62" s="41"/>
      <c r="L62" s="41"/>
      <c r="M62" s="41">
        <v>302</v>
      </c>
      <c r="N62" s="41"/>
      <c r="O62" s="41" t="s">
        <v>609</v>
      </c>
      <c r="P62" s="41" t="s">
        <v>568</v>
      </c>
      <c r="Q62" s="40" t="s">
        <v>561</v>
      </c>
    </row>
    <row r="63" spans="1:17" x14ac:dyDescent="0.25">
      <c r="A63" s="45">
        <v>45599</v>
      </c>
      <c r="B63" s="41" t="s">
        <v>684</v>
      </c>
      <c r="C63" s="41"/>
      <c r="D63" s="19">
        <v>41408089</v>
      </c>
      <c r="E63" s="19"/>
      <c r="F63" s="41"/>
      <c r="G63" s="18" t="s">
        <v>685</v>
      </c>
      <c r="H63" s="19"/>
      <c r="I63" s="19" t="str">
        <f>_xlfn.CONCAT(P63,CHAR(10),
       IF(AND(O63&lt;&gt;"", K63&lt;&gt;""),
          "Situación: " &amp; O63 &amp; CHAR(10) &amp; "Calificación: " &amp; K63 &amp; "%" &amp; CHAR(10),
          IF(O63&lt;&gt;"",
             "Situación: " &amp; O63 &amp; CHAR(10),
             IF(K63&lt;&gt;"",
                "Calificación: " &amp; K63 &amp; "%" &amp; CHAR(10),
                CHAR(10)))),
       "Meses: ", L63, CHAR(10),
       "Score: ", M63, CHAR(10),
       "Banco: ", N63
)</f>
        <v xml:space="preserve">De WhatsApp
Calificación: 10%
Meses: 6
Score: 405
Banco: </v>
      </c>
      <c r="J63" s="41" t="s">
        <v>156</v>
      </c>
      <c r="K63" s="41">
        <v>10</v>
      </c>
      <c r="L63" s="41">
        <v>6</v>
      </c>
      <c r="M63" s="41">
        <v>405</v>
      </c>
      <c r="N63" s="41"/>
      <c r="O63" s="41"/>
      <c r="P63" s="41" t="s">
        <v>568</v>
      </c>
      <c r="Q63" s="40" t="s">
        <v>561</v>
      </c>
    </row>
    <row r="64" spans="1:17" x14ac:dyDescent="0.25">
      <c r="A64" s="45">
        <v>45599</v>
      </c>
      <c r="B64" s="41" t="s">
        <v>686</v>
      </c>
      <c r="C64" s="41"/>
      <c r="D64" s="19">
        <v>70038976</v>
      </c>
      <c r="E64" s="19"/>
      <c r="F64" s="41"/>
      <c r="G64" s="18" t="s">
        <v>676</v>
      </c>
      <c r="H64" s="19"/>
      <c r="I64" s="19" t="str">
        <f>_xlfn.CONCAT(P64,CHAR(10),
       IF(AND(O64&lt;&gt;"", K64&lt;&gt;""),
          "Situación: " &amp; O64 &amp; CHAR(10) &amp; "Calificación: " &amp; K64 &amp; "%" &amp; CHAR(10),
          IF(O64&lt;&gt;"",
             "Situación: " &amp; O64 &amp; CHAR(10),
             IF(K64&lt;&gt;"",
                "Calificación: " &amp; K64 &amp; "%" &amp; CHAR(10),
                CHAR(10)))),
       "Meses: ", L64, CHAR(10),
       "Score: ", M64, CHAR(10),
       "Banco: ", N64
)</f>
        <v xml:space="preserve">De WhatsApp
Calificación: 20%
Meses: 9
Score: 381
Banco: </v>
      </c>
      <c r="J64" s="41" t="s">
        <v>156</v>
      </c>
      <c r="K64" s="41">
        <v>20</v>
      </c>
      <c r="L64" s="41">
        <v>9</v>
      </c>
      <c r="M64" s="41">
        <v>381</v>
      </c>
      <c r="N64" s="41"/>
      <c r="O64" s="41"/>
      <c r="P64" s="41" t="s">
        <v>568</v>
      </c>
      <c r="Q64" s="40" t="s">
        <v>561</v>
      </c>
    </row>
    <row r="65" spans="1:17" x14ac:dyDescent="0.25">
      <c r="A65" s="45">
        <v>45599</v>
      </c>
      <c r="B65" s="41" t="s">
        <v>687</v>
      </c>
      <c r="C65" s="41"/>
      <c r="D65" s="19">
        <v>18210579</v>
      </c>
      <c r="E65" s="19"/>
      <c r="F65" s="41"/>
      <c r="G65" s="18" t="s">
        <v>688</v>
      </c>
      <c r="H65" s="47" t="s">
        <v>21</v>
      </c>
      <c r="I65" s="19" t="str">
        <f>_xlfn.CONCAT(P65,CHAR(10),
       IF(AND(O65&lt;&gt;"", K65&lt;&gt;""),
          "Situación: " &amp; O65 &amp; CHAR(10) &amp; "Calificación: " &amp; K65 &amp; "%" &amp; CHAR(10),
          IF(O65&lt;&gt;"",
             "Situación: " &amp; O65 &amp; CHAR(10),
             IF(K65&lt;&gt;"",
                "Calificación: " &amp; K65 &amp; "%" &amp; CHAR(10),
                CHAR(10)))),
       "Meses: ", L65, CHAR(10),
       "Score: ", M65, CHAR(10),
       "Banco: ", N65
)</f>
        <v xml:space="preserve">El próximo año
Situación: BAJO SCORE
Meses: 
Score: 258
Banco: </v>
      </c>
      <c r="J65" s="41" t="s">
        <v>126</v>
      </c>
      <c r="K65" s="41"/>
      <c r="L65" s="41"/>
      <c r="M65" s="41">
        <v>258</v>
      </c>
      <c r="N65" s="41"/>
      <c r="O65" s="41" t="s">
        <v>609</v>
      </c>
      <c r="P65" s="19" t="s">
        <v>34</v>
      </c>
      <c r="Q65" s="40" t="s">
        <v>561</v>
      </c>
    </row>
    <row r="66" spans="1:17" x14ac:dyDescent="0.25">
      <c r="A66" s="45">
        <v>45599</v>
      </c>
      <c r="B66" s="41" t="s">
        <v>689</v>
      </c>
      <c r="C66" s="41"/>
      <c r="D66" s="19">
        <v>42708821</v>
      </c>
      <c r="E66" s="19"/>
      <c r="F66" s="41"/>
      <c r="G66" s="18" t="s">
        <v>690</v>
      </c>
      <c r="H66" s="47" t="s">
        <v>21</v>
      </c>
      <c r="I66" s="19" t="str">
        <f>_xlfn.CONCAT(P66,CHAR(10),
       IF(AND(O66&lt;&gt;"", K66&lt;&gt;""),
          "Situación: " &amp; O66 &amp; CHAR(10) &amp; "Calificación: " &amp; K66 &amp; "%" &amp; CHAR(10),
          IF(O66&lt;&gt;"",
             "Situación: " &amp; O66 &amp; CHAR(10),
             IF(K66&lt;&gt;"",
                "Calificación: " &amp; K66 &amp; "%" &amp; CHAR(10),
                CHAR(10)))),
       "Meses: ", L66, CHAR(10),
       "Score: ", M66, CHAR(10),
       "Banco: ", N66
)</f>
        <v xml:space="preserve">El próximo año
Situación: BAJO SCORE
Meses: 
Score: 238
Banco: </v>
      </c>
      <c r="J66" s="41" t="s">
        <v>126</v>
      </c>
      <c r="K66" s="41"/>
      <c r="L66" s="41"/>
      <c r="M66" s="41">
        <v>238</v>
      </c>
      <c r="N66" s="41"/>
      <c r="O66" s="41" t="s">
        <v>609</v>
      </c>
      <c r="P66" s="19" t="s">
        <v>34</v>
      </c>
      <c r="Q66" s="40" t="s">
        <v>561</v>
      </c>
    </row>
    <row r="67" spans="1:17" x14ac:dyDescent="0.25">
      <c r="A67" s="45">
        <v>45599</v>
      </c>
      <c r="B67" s="41" t="s">
        <v>691</v>
      </c>
      <c r="C67" s="41"/>
      <c r="D67" s="19">
        <v>47719952</v>
      </c>
      <c r="E67" s="19"/>
      <c r="F67" s="41"/>
      <c r="G67" s="18" t="s">
        <v>692</v>
      </c>
      <c r="H67" s="47" t="s">
        <v>21</v>
      </c>
      <c r="I67" s="19" t="str">
        <f>_xlfn.CONCAT(P67,CHAR(10),
       IF(AND(O67&lt;&gt;"", K67&lt;&gt;""),
          "Situación: " &amp; O67 &amp; CHAR(10) &amp; "Calificación: " &amp; K67 &amp; "%" &amp; CHAR(10),
          IF(O67&lt;&gt;"",
             "Situación: " &amp; O67 &amp; CHAR(10),
             IF(K67&lt;&gt;"",
                "Calificación: " &amp; K67 &amp; "%" &amp; CHAR(10),
                CHAR(10)))),
       "Meses: ", L67, CHAR(10),
       "Score: ", M67, CHAR(10),
       "Banco: ", N67
)</f>
        <v xml:space="preserve">El próximo año
Situación: BAJO SCORE
Meses: 
Score: 233
Banco: </v>
      </c>
      <c r="J67" s="41" t="s">
        <v>126</v>
      </c>
      <c r="K67" s="41"/>
      <c r="L67" s="41"/>
      <c r="M67" s="41">
        <v>233</v>
      </c>
      <c r="N67" s="41"/>
      <c r="O67" s="41" t="s">
        <v>609</v>
      </c>
      <c r="P67" s="19" t="s">
        <v>34</v>
      </c>
      <c r="Q67" s="40" t="s">
        <v>561</v>
      </c>
    </row>
    <row r="68" spans="1:17" x14ac:dyDescent="0.25">
      <c r="A68" s="39">
        <v>45598.786724537036</v>
      </c>
      <c r="B68" s="48" t="s">
        <v>693</v>
      </c>
      <c r="C68" s="40"/>
      <c r="D68" s="40">
        <v>75227451</v>
      </c>
      <c r="E68" s="19"/>
      <c r="F68" s="41"/>
      <c r="G68" s="49" t="s">
        <v>694</v>
      </c>
      <c r="H68" s="42" t="s">
        <v>21</v>
      </c>
      <c r="I68" s="42" t="str">
        <f>_xlfn.CONCAT(P68,CHAR(10),
       IF(AND(O68&lt;&gt;"", K68&lt;&gt;""),
          "Situación: " &amp; O68 &amp; CHAR(10) &amp; "Calificación: " &amp; K68 &amp; "%" &amp; CHAR(10),
          IF(O68&lt;&gt;"",
             "Situación: " &amp; O68 &amp; CHAR(10),
             IF(K68&lt;&gt;"",
                "Calificación: " &amp; K68 &amp; "%" &amp; CHAR(10),
                CHAR(10)))),
       "Meses: ", L68, CHAR(10),
       "Score: ", M68, CHAR(10),
       "Banco: ", N68
)</f>
        <v xml:space="preserve">El próximo año
Calificación: 20%
Meses: 9
Score: 352
Banco: </v>
      </c>
      <c r="J68" s="41" t="s">
        <v>156</v>
      </c>
      <c r="K68" s="41">
        <v>20</v>
      </c>
      <c r="L68" s="40">
        <v>9</v>
      </c>
      <c r="M68" s="40">
        <v>352</v>
      </c>
      <c r="N68" s="40"/>
      <c r="O68" s="41"/>
      <c r="P68" s="19" t="s">
        <v>34</v>
      </c>
      <c r="Q68" s="40" t="s">
        <v>561</v>
      </c>
    </row>
    <row r="69" spans="1:17" x14ac:dyDescent="0.25">
      <c r="A69" s="39">
        <v>45598.528900462959</v>
      </c>
      <c r="B69" s="48" t="s">
        <v>695</v>
      </c>
      <c r="C69" s="40"/>
      <c r="D69" s="40">
        <v>70033539</v>
      </c>
      <c r="E69" s="19"/>
      <c r="F69" s="41"/>
      <c r="G69" s="49" t="s">
        <v>696</v>
      </c>
      <c r="H69" s="42" t="s">
        <v>21</v>
      </c>
      <c r="I69" s="42" t="str">
        <f>_xlfn.CONCAT(P69,CHAR(10),
       IF(AND(O69&lt;&gt;"", K69&lt;&gt;""),
          "Situación: " &amp; O69 &amp; CHAR(10) &amp; "Calificación: " &amp; K69 &amp; "%" &amp; CHAR(10),
          IF(O69&lt;&gt;"",
             "Situación: " &amp; O69 &amp; CHAR(10),
             IF(K69&lt;&gt;"",
                "Calificación: " &amp; K69 &amp; "%" &amp; CHAR(10),
                CHAR(10)))),
       "Meses: ", L69, CHAR(10),
       "Score: ", M69, CHAR(10),
       "Banco: ", N69
)</f>
        <v xml:space="preserve">Lo mas pronto
Calificación: 20%
Meses: 6
Score: 352
Banco: </v>
      </c>
      <c r="J69" s="41" t="s">
        <v>156</v>
      </c>
      <c r="K69" s="41">
        <v>20</v>
      </c>
      <c r="L69" s="40">
        <v>6</v>
      </c>
      <c r="M69" s="40">
        <v>352</v>
      </c>
      <c r="N69" s="40"/>
      <c r="O69" s="41"/>
      <c r="P69" s="19" t="s">
        <v>29</v>
      </c>
      <c r="Q69" s="40" t="s">
        <v>561</v>
      </c>
    </row>
    <row r="70" spans="1:17" x14ac:dyDescent="0.25">
      <c r="A70" s="39">
        <v>45598.488252314812</v>
      </c>
      <c r="B70" s="48" t="s">
        <v>697</v>
      </c>
      <c r="C70" s="40"/>
      <c r="D70" s="40">
        <v>71513404</v>
      </c>
      <c r="E70" s="19"/>
      <c r="F70" s="41"/>
      <c r="G70" s="49" t="s">
        <v>698</v>
      </c>
      <c r="H70" s="42" t="s">
        <v>21</v>
      </c>
      <c r="I70" s="42" t="str">
        <f>_xlfn.CONCAT(P70,CHAR(10),
       IF(AND(O70&lt;&gt;"", K70&lt;&gt;""),
          "Situación: " &amp; O70 &amp; CHAR(10) &amp; "Calificación: " &amp; K70 &amp; "%" &amp; CHAR(10),
          IF(O70&lt;&gt;"",
             "Situación: " &amp; O70 &amp; CHAR(10),
             IF(K70&lt;&gt;"",
                "Calificación: " &amp; K70 &amp; "%" &amp; CHAR(10),
                CHAR(10)))),
       "Meses: ", L70, CHAR(10),
       "Score: ", M70, CHAR(10),
       "Banco: ", N70
)</f>
        <v xml:space="preserve">Lo mas pronto
Calificación: 10%
Meses: 6
Score: 391
Banco: </v>
      </c>
      <c r="J70" s="41" t="s">
        <v>156</v>
      </c>
      <c r="K70" s="41">
        <v>10</v>
      </c>
      <c r="L70" s="40">
        <v>6</v>
      </c>
      <c r="M70" s="40">
        <v>391</v>
      </c>
      <c r="N70" s="40"/>
      <c r="O70" s="41"/>
      <c r="P70" s="19" t="s">
        <v>29</v>
      </c>
      <c r="Q70" s="40" t="s">
        <v>561</v>
      </c>
    </row>
    <row r="71" spans="1:17" x14ac:dyDescent="0.25">
      <c r="A71" s="39">
        <v>45598.46769675926</v>
      </c>
      <c r="B71" s="48" t="s">
        <v>699</v>
      </c>
      <c r="C71" s="40"/>
      <c r="D71" s="40">
        <v>46330134</v>
      </c>
      <c r="E71" s="19"/>
      <c r="F71" s="41"/>
      <c r="G71" s="49" t="s">
        <v>700</v>
      </c>
      <c r="H71" s="42" t="s">
        <v>21</v>
      </c>
      <c r="I71" s="42" t="str">
        <f>_xlfn.CONCAT(P71,CHAR(10),
       IF(AND(O71&lt;&gt;"", K71&lt;&gt;""),
          "Situación: " &amp; O71 &amp; CHAR(10) &amp; "Calificación: " &amp; K71 &amp; "%" &amp; CHAR(10),
          IF(O71&lt;&gt;"",
             "Situación: " &amp; O71 &amp; CHAR(10),
             IF(K71&lt;&gt;"",
                "Calificación: " &amp; K71 &amp; "%" &amp; CHAR(10),
                CHAR(10)))),
       "Meses: ", L71, CHAR(10),
       "Score: ", M71, CHAR(10),
       "Banco: ", N71
)</f>
        <v xml:space="preserve">El próximo año
Situación: BAJO SCORE
Meses: 
Score: 256
Banco: </v>
      </c>
      <c r="J71" s="41" t="s">
        <v>126</v>
      </c>
      <c r="K71" s="41"/>
      <c r="L71" s="40"/>
      <c r="M71" s="40">
        <v>256</v>
      </c>
      <c r="N71" s="40"/>
      <c r="O71" s="41" t="s">
        <v>609</v>
      </c>
      <c r="P71" s="19" t="s">
        <v>34</v>
      </c>
      <c r="Q71" s="40" t="s">
        <v>561</v>
      </c>
    </row>
    <row r="72" spans="1:17" x14ac:dyDescent="0.25">
      <c r="A72" s="45">
        <v>45598.434050925927</v>
      </c>
      <c r="B72" s="19" t="s">
        <v>701</v>
      </c>
      <c r="C72" s="41"/>
      <c r="D72" s="46">
        <v>45757813</v>
      </c>
      <c r="E72" s="19"/>
      <c r="F72" s="41"/>
      <c r="G72" s="50" t="s">
        <v>702</v>
      </c>
      <c r="H72" s="41" t="s">
        <v>21</v>
      </c>
      <c r="I72" s="19" t="str">
        <f>_xlfn.CONCAT(P72,CHAR(10),
       IF(AND(O72&lt;&gt;"", K72&lt;&gt;""),
          "Situación: " &amp; O72 &amp; CHAR(10) &amp; "Calificación: " &amp; K72 &amp; "%" &amp; CHAR(10),
          IF(O72&lt;&gt;"",
             "Situación: " &amp; O72 &amp; CHAR(10),
             IF(K72&lt;&gt;"",
                "Calificación: " &amp; K72 &amp; "%" &amp; CHAR(10),
                CHAR(10)))),
       "Meses: ", L72, CHAR(10),
       "Score: ", M72, CHAR(10),
       "Banco: ", N72
)</f>
        <v xml:space="preserve">El próximo año
Calificación: 10%
Meses: 6
Score: 390
Banco: </v>
      </c>
      <c r="J72" s="41" t="s">
        <v>156</v>
      </c>
      <c r="K72" s="41">
        <v>10</v>
      </c>
      <c r="L72" s="41">
        <v>6</v>
      </c>
      <c r="M72" s="19">
        <v>390</v>
      </c>
      <c r="N72" s="41"/>
      <c r="O72" s="41"/>
      <c r="P72" s="19" t="s">
        <v>34</v>
      </c>
      <c r="Q72" s="40" t="s">
        <v>561</v>
      </c>
    </row>
    <row r="73" spans="1:17" x14ac:dyDescent="0.25">
      <c r="A73" s="45">
        <v>45598.430358796293</v>
      </c>
      <c r="B73" s="19" t="s">
        <v>703</v>
      </c>
      <c r="C73" s="41"/>
      <c r="D73" s="46">
        <v>48427745</v>
      </c>
      <c r="E73" s="19"/>
      <c r="F73" s="41"/>
      <c r="G73" s="50" t="s">
        <v>704</v>
      </c>
      <c r="H73" s="41" t="s">
        <v>21</v>
      </c>
      <c r="I73" s="19" t="str">
        <f>_xlfn.CONCAT(P73,CHAR(10),
       IF(AND(O73&lt;&gt;"", K73&lt;&gt;""),
          "Situación: " &amp; O73 &amp; CHAR(10) &amp; "Calificación: " &amp; K73 &amp; "%" &amp; CHAR(10),
          IF(O73&lt;&gt;"",
             "Situación: " &amp; O73 &amp; CHAR(10),
             IF(K73&lt;&gt;"",
                "Calificación: " &amp; K73 &amp; "%" &amp; CHAR(10),
                CHAR(10)))),
       "Meses: ", L73, CHAR(10),
       "Score: ", M73, CHAR(10),
       "Banco: ", N73
)</f>
        <v xml:space="preserve">El próximo año
Calificación: 10%
Meses: 6
Score: 416
Banco: </v>
      </c>
      <c r="J73" s="41" t="s">
        <v>156</v>
      </c>
      <c r="K73" s="41">
        <v>10</v>
      </c>
      <c r="L73" s="41">
        <v>6</v>
      </c>
      <c r="M73" s="19">
        <v>416</v>
      </c>
      <c r="N73" s="41"/>
      <c r="O73" s="41"/>
      <c r="P73" s="19" t="s">
        <v>34</v>
      </c>
      <c r="Q73" s="40" t="s">
        <v>561</v>
      </c>
    </row>
    <row r="74" spans="1:17" x14ac:dyDescent="0.25">
      <c r="A74" s="45">
        <v>45598.40252314815</v>
      </c>
      <c r="B74" s="19" t="s">
        <v>705</v>
      </c>
      <c r="C74" s="41"/>
      <c r="D74" s="46">
        <v>73067759</v>
      </c>
      <c r="E74" s="19"/>
      <c r="F74" s="41"/>
      <c r="G74" s="50" t="s">
        <v>706</v>
      </c>
      <c r="H74" s="41" t="s">
        <v>21</v>
      </c>
      <c r="I74" s="19" t="str">
        <f>_xlfn.CONCAT(P74,CHAR(10),
       IF(AND(O74&lt;&gt;"", K74&lt;&gt;""),
          "Situación: " &amp; O74 &amp; CHAR(10) &amp; "Calificación: " &amp; K74 &amp; "%" &amp; CHAR(10),
          IF(O74&lt;&gt;"",
             "Situación: " &amp; O74 &amp; CHAR(10),
             IF(K74&lt;&gt;"",
                "Calificación: " &amp; K74 &amp; "%" &amp; CHAR(10),
                CHAR(10)))),
       "Meses: ", L74, CHAR(10),
       "Score: ", M74, CHAR(10),
       "Banco: ", N74
)</f>
        <v xml:space="preserve">Para diciembre de este año
Situación: BAJO SCORE
Meses: 
Score: 256
Banco: </v>
      </c>
      <c r="J74" s="41" t="s">
        <v>126</v>
      </c>
      <c r="K74" s="41"/>
      <c r="L74" s="41"/>
      <c r="M74" s="19">
        <v>256</v>
      </c>
      <c r="N74" s="41"/>
      <c r="O74" s="41" t="s">
        <v>609</v>
      </c>
      <c r="P74" s="19" t="s">
        <v>22</v>
      </c>
      <c r="Q74" s="40" t="s">
        <v>561</v>
      </c>
    </row>
    <row r="75" spans="1:17" x14ac:dyDescent="0.25">
      <c r="A75" s="45">
        <v>45598.3752662037</v>
      </c>
      <c r="B75" s="19" t="s">
        <v>707</v>
      </c>
      <c r="C75" s="41"/>
      <c r="D75" s="46">
        <v>18118459</v>
      </c>
      <c r="E75" s="19"/>
      <c r="F75" s="41"/>
      <c r="G75" s="50" t="s">
        <v>708</v>
      </c>
      <c r="H75" s="41" t="s">
        <v>21</v>
      </c>
      <c r="I75" s="19" t="str">
        <f>_xlfn.CONCAT(P75,CHAR(10),
       IF(AND(O75&lt;&gt;"", K75&lt;&gt;""),
          "Situación: " &amp; O75 &amp; CHAR(10) &amp; "Calificación: " &amp; K75 &amp; "%" &amp; CHAR(10),
          IF(O75&lt;&gt;"",
             "Situación: " &amp; O75 &amp; CHAR(10),
             IF(K75&lt;&gt;"",
                "Calificación: " &amp; K75 &amp; "%" &amp; CHAR(10),
                CHAR(10)))),
       "Meses: ", L75, CHAR(10),
       "Score: ", M75, CHAR(10),
       "Banco: ", N75
)</f>
        <v xml:space="preserve">Para diciembre de este año
Calificación: 10%
Meses: 6
Score: 437
Banco: </v>
      </c>
      <c r="J75" s="41" t="s">
        <v>156</v>
      </c>
      <c r="K75" s="41">
        <v>10</v>
      </c>
      <c r="L75" s="41">
        <v>6</v>
      </c>
      <c r="M75" s="19">
        <v>437</v>
      </c>
      <c r="N75" s="41"/>
      <c r="O75" s="41"/>
      <c r="P75" s="19" t="s">
        <v>22</v>
      </c>
      <c r="Q75" s="40" t="s">
        <v>561</v>
      </c>
    </row>
    <row r="76" spans="1:17" x14ac:dyDescent="0.25">
      <c r="A76" s="45">
        <v>45598.364259259259</v>
      </c>
      <c r="B76" s="19" t="s">
        <v>709</v>
      </c>
      <c r="C76" s="41"/>
      <c r="D76" s="46">
        <v>10594880</v>
      </c>
      <c r="E76" s="19"/>
      <c r="F76" s="41"/>
      <c r="G76" s="50" t="s">
        <v>710</v>
      </c>
      <c r="H76" s="41" t="s">
        <v>21</v>
      </c>
      <c r="I76" s="19" t="str">
        <f>_xlfn.CONCAT(P76,CHAR(10),
       IF(AND(O76&lt;&gt;"", K76&lt;&gt;""),
          "Situación: " &amp; O76 &amp; CHAR(10) &amp; "Calificación: " &amp; K76 &amp; "%" &amp; CHAR(10),
          IF(O76&lt;&gt;"",
             "Situación: " &amp; O76 &amp; CHAR(10),
             IF(K76&lt;&gt;"",
                "Calificación: " &amp; K76 &amp; "%" &amp; CHAR(10),
                CHAR(10)))),
       "Meses: ", L76, CHAR(10),
       "Score: ", M76, CHAR(10),
       "Banco: ", N76
)</f>
        <v xml:space="preserve">El próximo año
Calificación: 10%
Meses: 6
Score: 396
Banco: </v>
      </c>
      <c r="J76" s="41" t="s">
        <v>156</v>
      </c>
      <c r="K76" s="41">
        <v>10</v>
      </c>
      <c r="L76" s="41">
        <v>6</v>
      </c>
      <c r="M76" s="19">
        <v>396</v>
      </c>
      <c r="N76" s="41"/>
      <c r="O76" s="41"/>
      <c r="P76" s="19" t="s">
        <v>34</v>
      </c>
      <c r="Q76" s="40" t="s">
        <v>561</v>
      </c>
    </row>
    <row r="77" spans="1:17" x14ac:dyDescent="0.25">
      <c r="A77" s="45">
        <v>45598.33421296296</v>
      </c>
      <c r="B77" s="19" t="s">
        <v>711</v>
      </c>
      <c r="C77" s="41"/>
      <c r="D77" s="46">
        <v>17909317</v>
      </c>
      <c r="E77" s="19"/>
      <c r="F77" s="41"/>
      <c r="G77" s="50" t="s">
        <v>712</v>
      </c>
      <c r="H77" s="41" t="s">
        <v>21</v>
      </c>
      <c r="I77" s="19" t="str">
        <f>_xlfn.CONCAT(P77,CHAR(10),
       IF(AND(O77&lt;&gt;"", K77&lt;&gt;""),
          "Situación: " &amp; O77 &amp; CHAR(10) &amp; "Calificación: " &amp; K77 &amp; "%" &amp; CHAR(10),
          IF(O77&lt;&gt;"",
             "Situación: " &amp; O77 &amp; CHAR(10),
             IF(K77&lt;&gt;"",
                "Calificación: " &amp; K77 &amp; "%" &amp; CHAR(10),
                CHAR(10)))),
       "Meses: ", L77, CHAR(10),
       "Score: ", M77, CHAR(10),
       "Banco: ", N77
)</f>
        <v xml:space="preserve">El próximo año
Situación: MAL SBS
Meses: 
Score: 422
Banco: </v>
      </c>
      <c r="J77" s="41" t="s">
        <v>164</v>
      </c>
      <c r="K77" s="41"/>
      <c r="L77" s="41"/>
      <c r="M77" s="19">
        <v>422</v>
      </c>
      <c r="N77" s="41"/>
      <c r="O77" s="41" t="s">
        <v>590</v>
      </c>
      <c r="P77" s="19" t="s">
        <v>34</v>
      </c>
      <c r="Q77" s="40" t="s">
        <v>561</v>
      </c>
    </row>
    <row r="78" spans="1:17" x14ac:dyDescent="0.25">
      <c r="A78" s="45">
        <v>45598.300451388888</v>
      </c>
      <c r="B78" s="19" t="s">
        <v>713</v>
      </c>
      <c r="C78" s="41"/>
      <c r="D78" s="46">
        <v>19083368</v>
      </c>
      <c r="E78" s="19"/>
      <c r="F78" s="41"/>
      <c r="G78" s="50" t="s">
        <v>714</v>
      </c>
      <c r="H78" s="41" t="s">
        <v>21</v>
      </c>
      <c r="I78" s="19" t="str">
        <f>_xlfn.CONCAT(P78,CHAR(10),
       IF(AND(O78&lt;&gt;"", K78&lt;&gt;""),
          "Situación: " &amp; O78 &amp; CHAR(10) &amp; "Calificación: " &amp; K78 &amp; "%" &amp; CHAR(10),
          IF(O78&lt;&gt;"",
             "Situación: " &amp; O78 &amp; CHAR(10),
             IF(K78&lt;&gt;"",
                "Calificación: " &amp; K78 &amp; "%" &amp; CHAR(10),
                CHAR(10)))),
       "Meses: ", L78, CHAR(10),
       "Score: ", M78, CHAR(10),
       "Banco: ", N78
)</f>
        <v xml:space="preserve">El próximo año
Calificación: 20%
Meses: 9
Score: 376
Banco: </v>
      </c>
      <c r="J78" s="41" t="s">
        <v>156</v>
      </c>
      <c r="K78" s="41">
        <v>20</v>
      </c>
      <c r="L78" s="41">
        <v>9</v>
      </c>
      <c r="M78" s="19">
        <v>376</v>
      </c>
      <c r="N78" s="41"/>
      <c r="O78" s="41"/>
      <c r="P78" s="19" t="s">
        <v>34</v>
      </c>
      <c r="Q78" s="40" t="s">
        <v>561</v>
      </c>
    </row>
    <row r="79" spans="1:17" x14ac:dyDescent="0.25">
      <c r="A79" s="45">
        <v>45598.29451388889</v>
      </c>
      <c r="B79" s="19" t="s">
        <v>715</v>
      </c>
      <c r="C79" s="41"/>
      <c r="D79" s="46">
        <v>47102939</v>
      </c>
      <c r="E79" s="19"/>
      <c r="F79" s="41"/>
      <c r="G79" s="50" t="s">
        <v>716</v>
      </c>
      <c r="H79" s="41" t="s">
        <v>21</v>
      </c>
      <c r="I79" s="19" t="str">
        <f>_xlfn.CONCAT(P79,CHAR(10),
       IF(AND(O79&lt;&gt;"", K79&lt;&gt;""),
          "Situación: " &amp; O79 &amp; CHAR(10) &amp; "Calificación: " &amp; K79 &amp; "%" &amp; CHAR(10),
          IF(O79&lt;&gt;"",
             "Situación: " &amp; O79 &amp; CHAR(10),
             IF(K79&lt;&gt;"",
                "Calificación: " &amp; K79 &amp; "%" &amp; CHAR(10),
                CHAR(10)))),
       "Meses: ", L79, CHAR(10),
       "Score: ", M79, CHAR(10),
       "Banco: ", N79
)</f>
        <v xml:space="preserve">El próximo año
Situación: BAJO SCORE
Meses: 
Score: 308
Banco: </v>
      </c>
      <c r="J79" s="41" t="s">
        <v>126</v>
      </c>
      <c r="K79" s="41"/>
      <c r="L79" s="41"/>
      <c r="M79" s="19">
        <v>308</v>
      </c>
      <c r="N79" s="41"/>
      <c r="O79" s="41" t="s">
        <v>609</v>
      </c>
      <c r="P79" s="19" t="s">
        <v>34</v>
      </c>
      <c r="Q79" s="40" t="s">
        <v>561</v>
      </c>
    </row>
    <row r="80" spans="1:17" x14ac:dyDescent="0.25">
      <c r="A80" s="45">
        <v>45598.283530092594</v>
      </c>
      <c r="B80" s="19" t="s">
        <v>717</v>
      </c>
      <c r="C80" s="41"/>
      <c r="D80" s="46">
        <v>46877039</v>
      </c>
      <c r="E80" s="19"/>
      <c r="F80" s="41"/>
      <c r="G80" s="50" t="s">
        <v>718</v>
      </c>
      <c r="H80" s="41" t="s">
        <v>21</v>
      </c>
      <c r="I80" s="19" t="str">
        <f>_xlfn.CONCAT(P80,CHAR(10),
       IF(AND(O80&lt;&gt;"", K80&lt;&gt;""),
          "Situación: " &amp; O80 &amp; CHAR(10) &amp; "Calificación: " &amp; K80 &amp; "%" &amp; CHAR(10),
          IF(O80&lt;&gt;"",
             "Situación: " &amp; O80 &amp; CHAR(10),
             IF(K80&lt;&gt;"",
                "Calificación: " &amp; K80 &amp; "%" &amp; CHAR(10),
                CHAR(10)))),
       "Meses: ", L80, CHAR(10),
       "Score: ", M80, CHAR(10),
       "Banco: ", N80
)</f>
        <v xml:space="preserve">El próximo año
Situación: BAJO SCORE / MAL SBS
Meses: 
Score: 323
Banco: </v>
      </c>
      <c r="J80" s="41" t="s">
        <v>126</v>
      </c>
      <c r="K80" s="41"/>
      <c r="L80" s="41"/>
      <c r="M80" s="19">
        <v>323</v>
      </c>
      <c r="N80" s="41"/>
      <c r="O80" s="41" t="s">
        <v>628</v>
      </c>
      <c r="P80" s="19" t="s">
        <v>34</v>
      </c>
      <c r="Q80" s="40" t="s">
        <v>561</v>
      </c>
    </row>
    <row r="81" spans="1:17" x14ac:dyDescent="0.25">
      <c r="A81" s="45">
        <v>45598.122395833336</v>
      </c>
      <c r="B81" s="19" t="s">
        <v>719</v>
      </c>
      <c r="C81" s="41"/>
      <c r="D81" s="46">
        <v>18202372</v>
      </c>
      <c r="E81" s="19"/>
      <c r="F81" s="41"/>
      <c r="G81" s="50" t="s">
        <v>720</v>
      </c>
      <c r="H81" s="41" t="s">
        <v>21</v>
      </c>
      <c r="I81" s="19" t="str">
        <f>_xlfn.CONCAT(P81,CHAR(10),
       IF(AND(O81&lt;&gt;"", K81&lt;&gt;""),
          "Situación: " &amp; O81 &amp; CHAR(10) &amp; "Calificación: " &amp; K81 &amp; "%" &amp; CHAR(10),
          IF(O81&lt;&gt;"",
             "Situación: " &amp; O81 &amp; CHAR(10),
             IF(K81&lt;&gt;"",
                "Calificación: " &amp; K81 &amp; "%" &amp; CHAR(10),
                CHAR(10)))),
       "Meses: ", L81, CHAR(10),
       "Score: ", M81, CHAR(10),
       "Banco: ", N81
)</f>
        <v xml:space="preserve">Para diciembre de este año
Situación: BAJO SCORE / MAL SBS
Meses: 
Score: 272
Banco: </v>
      </c>
      <c r="J81" s="41" t="s">
        <v>126</v>
      </c>
      <c r="K81" s="41"/>
      <c r="L81" s="41"/>
      <c r="M81" s="19">
        <v>272</v>
      </c>
      <c r="N81" s="41"/>
      <c r="O81" s="41" t="s">
        <v>628</v>
      </c>
      <c r="P81" s="19" t="s">
        <v>22</v>
      </c>
      <c r="Q81" s="40" t="s">
        <v>561</v>
      </c>
    </row>
    <row r="82" spans="1:17" x14ac:dyDescent="0.25">
      <c r="A82" s="39">
        <v>45598</v>
      </c>
      <c r="B82" s="48" t="s">
        <v>721</v>
      </c>
      <c r="C82" s="40"/>
      <c r="D82" s="40">
        <v>70294276</v>
      </c>
      <c r="E82" s="19"/>
      <c r="F82" s="41"/>
      <c r="G82" s="49" t="s">
        <v>722</v>
      </c>
      <c r="H82" s="42"/>
      <c r="I82" s="42" t="str">
        <f>_xlfn.CONCAT(P82,CHAR(10),
       IF(AND(O82&lt;&gt;"", K82&lt;&gt;""),
          "Situación: " &amp; O82 &amp; CHAR(10) &amp; "Calificación: " &amp; K82 &amp; "%" &amp; CHAR(10),
          IF(O82&lt;&gt;"",
             "Situación: " &amp; O82 &amp; CHAR(10),
             IF(K82&lt;&gt;"",
                "Calificación: " &amp; K82 &amp; "%" &amp; CHAR(10),
                CHAR(10)))),
       "Meses: ", L82, CHAR(10),
       "Score: ", M82, CHAR(10),
       "Banco: ", N82
)</f>
        <v xml:space="preserve">De WhatsApp
Situación: BAJO SCORE
Meses: 
Score: 301
Banco: </v>
      </c>
      <c r="J82" s="41" t="s">
        <v>126</v>
      </c>
      <c r="K82" s="41"/>
      <c r="L82" s="40"/>
      <c r="M82" s="40">
        <v>301</v>
      </c>
      <c r="N82" s="40"/>
      <c r="O82" s="41" t="s">
        <v>609</v>
      </c>
      <c r="P82" s="41" t="s">
        <v>568</v>
      </c>
      <c r="Q82" s="40" t="s">
        <v>561</v>
      </c>
    </row>
    <row r="83" spans="1:17" x14ac:dyDescent="0.25">
      <c r="A83" s="45">
        <v>45597.988113425927</v>
      </c>
      <c r="B83" s="19" t="s">
        <v>723</v>
      </c>
      <c r="C83" s="41"/>
      <c r="D83" s="46">
        <v>46239596</v>
      </c>
      <c r="E83" s="19"/>
      <c r="F83" s="41"/>
      <c r="G83" s="50" t="s">
        <v>724</v>
      </c>
      <c r="H83" s="41" t="s">
        <v>21</v>
      </c>
      <c r="I83" s="19" t="str">
        <f>_xlfn.CONCAT(P83,CHAR(10),
       IF(AND(O83&lt;&gt;"", K83&lt;&gt;""),
          "Situación: " &amp; O83 &amp; CHAR(10) &amp; "Calificación: " &amp; K83 &amp; "%" &amp; CHAR(10),
          IF(O83&lt;&gt;"",
             "Situación: " &amp; O83 &amp; CHAR(10),
             IF(K83&lt;&gt;"",
                "Calificación: " &amp; K83 &amp; "%" &amp; CHAR(10),
                CHAR(10)))),
       "Meses: ", L83, CHAR(10),
       "Score: ", M83, CHAR(10),
       "Banco: ", N83
)</f>
        <v xml:space="preserve">El próximo año
Situación: BAJO SCORE
Meses: 
Score: 311
Banco: </v>
      </c>
      <c r="J83" s="41" t="s">
        <v>126</v>
      </c>
      <c r="K83" s="41"/>
      <c r="L83" s="41"/>
      <c r="M83" s="19">
        <v>311</v>
      </c>
      <c r="N83" s="41"/>
      <c r="O83" s="41" t="s">
        <v>609</v>
      </c>
      <c r="P83" s="19" t="s">
        <v>34</v>
      </c>
      <c r="Q83" s="40" t="s">
        <v>561</v>
      </c>
    </row>
    <row r="84" spans="1:17" x14ac:dyDescent="0.25">
      <c r="A84" s="45">
        <v>45597.962696759256</v>
      </c>
      <c r="B84" s="19" t="s">
        <v>725</v>
      </c>
      <c r="C84" s="41"/>
      <c r="D84" s="46">
        <v>47029052</v>
      </c>
      <c r="E84" s="19"/>
      <c r="F84" s="41"/>
      <c r="G84" s="50" t="s">
        <v>726</v>
      </c>
      <c r="H84" s="41" t="s">
        <v>727</v>
      </c>
      <c r="I84" s="19" t="str">
        <f>_xlfn.CONCAT(P84,CHAR(10),
       IF(AND(O84&lt;&gt;"", K84&lt;&gt;""),
          "Situación: " &amp; O84 &amp; CHAR(10) &amp; "Calificación: " &amp; K84 &amp; "%" &amp; CHAR(10),
          IF(O84&lt;&gt;"",
             "Situación: " &amp; O84 &amp; CHAR(10),
             IF(K84&lt;&gt;"",
                "Calificación: " &amp; K84 &amp; "%" &amp; CHAR(10),
                CHAR(10)))),
       "Meses: ", L84, CHAR(10),
       "Score: ", M84, CHAR(10),
       "Banco: ", N84
)</f>
        <v xml:space="preserve">El próximo año
Situación: MAL SBS
Meses: 
Score: 377
Banco: </v>
      </c>
      <c r="J84" s="41" t="s">
        <v>164</v>
      </c>
      <c r="K84" s="41"/>
      <c r="L84" s="41"/>
      <c r="M84" s="19">
        <v>377</v>
      </c>
      <c r="N84" s="41"/>
      <c r="O84" s="41" t="s">
        <v>590</v>
      </c>
      <c r="P84" s="19" t="s">
        <v>34</v>
      </c>
      <c r="Q84" s="40" t="s">
        <v>561</v>
      </c>
    </row>
    <row r="85" spans="1:17" x14ac:dyDescent="0.25">
      <c r="A85" s="45">
        <v>45597.953055555554</v>
      </c>
      <c r="B85" s="19" t="s">
        <v>728</v>
      </c>
      <c r="C85" s="41"/>
      <c r="D85" s="46">
        <v>75578519</v>
      </c>
      <c r="E85" s="19"/>
      <c r="F85" s="41"/>
      <c r="G85" s="50" t="s">
        <v>729</v>
      </c>
      <c r="H85" s="41" t="s">
        <v>21</v>
      </c>
      <c r="I85" s="19" t="str">
        <f>_xlfn.CONCAT(P85,CHAR(10),
       IF(AND(O85&lt;&gt;"", K85&lt;&gt;""),
          "Situación: " &amp; O85 &amp; CHAR(10) &amp; "Calificación: " &amp; K85 &amp; "%" &amp; CHAR(10),
          IF(O85&lt;&gt;"",
             "Situación: " &amp; O85 &amp; CHAR(10),
             IF(K85&lt;&gt;"",
                "Calificación: " &amp; K85 &amp; "%" &amp; CHAR(10),
                CHAR(10)))),
       "Meses: ", L85, CHAR(10),
       "Score: ", M85, CHAR(10),
       "Banco: ", N85
)</f>
        <v xml:space="preserve">Para diciembre de este año
Situación: BAJO SCORE
Meses: 
Score: 303
Banco: </v>
      </c>
      <c r="J85" s="41" t="s">
        <v>126</v>
      </c>
      <c r="K85" s="41"/>
      <c r="L85" s="41"/>
      <c r="M85" s="19">
        <v>303</v>
      </c>
      <c r="N85" s="41"/>
      <c r="O85" s="41" t="s">
        <v>609</v>
      </c>
      <c r="P85" s="19" t="s">
        <v>22</v>
      </c>
      <c r="Q85" s="40" t="s">
        <v>561</v>
      </c>
    </row>
    <row r="86" spans="1:17" x14ac:dyDescent="0.25">
      <c r="A86" s="45">
        <v>45597.890231481484</v>
      </c>
      <c r="B86" s="19" t="s">
        <v>730</v>
      </c>
      <c r="C86" s="41"/>
      <c r="D86" s="46">
        <v>18857662</v>
      </c>
      <c r="E86" s="19"/>
      <c r="F86" s="41"/>
      <c r="G86" s="50" t="s">
        <v>731</v>
      </c>
      <c r="H86" s="41" t="s">
        <v>732</v>
      </c>
      <c r="I86" s="19" t="str">
        <f>_xlfn.CONCAT(P86,CHAR(10),
       IF(AND(O86&lt;&gt;"", K86&lt;&gt;""),
          "Situación: " &amp; O86 &amp; CHAR(10) &amp; "Calificación: " &amp; K86 &amp; "%" &amp; CHAR(10),
          IF(O86&lt;&gt;"",
             "Situación: " &amp; O86 &amp; CHAR(10),
             IF(K86&lt;&gt;"",
                "Calificación: " &amp; K86 &amp; "%" &amp; CHAR(10),
                CHAR(10)))),
       "Meses: ", L86, CHAR(10),
       "Score: ", M86, CHAR(10),
       "Banco: ", N86
)</f>
        <v xml:space="preserve">El próximo año
Calificación: 10%
Meses: 6
Score: 394
Banco: </v>
      </c>
      <c r="J86" s="41" t="s">
        <v>156</v>
      </c>
      <c r="K86" s="41">
        <v>10</v>
      </c>
      <c r="L86" s="41">
        <v>6</v>
      </c>
      <c r="M86" s="19">
        <v>394</v>
      </c>
      <c r="N86" s="41"/>
      <c r="O86" s="41"/>
      <c r="P86" s="19" t="s">
        <v>34</v>
      </c>
      <c r="Q86" s="40" t="s">
        <v>561</v>
      </c>
    </row>
    <row r="87" spans="1:17" x14ac:dyDescent="0.25">
      <c r="A87" s="45">
        <v>45597.865486111114</v>
      </c>
      <c r="B87" s="19" t="s">
        <v>733</v>
      </c>
      <c r="C87" s="41"/>
      <c r="D87" s="46">
        <v>72149896</v>
      </c>
      <c r="E87" s="19"/>
      <c r="F87" s="41"/>
      <c r="G87" s="50" t="s">
        <v>734</v>
      </c>
      <c r="H87" s="41" t="s">
        <v>147</v>
      </c>
      <c r="I87" s="19" t="str">
        <f>_xlfn.CONCAT(P87,CHAR(10),
       IF(AND(O87&lt;&gt;"", K87&lt;&gt;""),
          "Situación: " &amp; O87 &amp; CHAR(10) &amp; "Calificación: " &amp; K87 &amp; "%" &amp; CHAR(10),
          IF(O87&lt;&gt;"",
             "Situación: " &amp; O87 &amp; CHAR(10),
             IF(K87&lt;&gt;"",
                "Calificación: " &amp; K87 &amp; "%" &amp; CHAR(10),
                CHAR(10)))),
       "Meses: ", L87, CHAR(10),
       "Score: ", M87, CHAR(10),
       "Banco: ", N87
)</f>
        <v xml:space="preserve">Lo mas pronto
Situación: BAJO SCORE
Meses: 
Score: 308
Banco: </v>
      </c>
      <c r="J87" s="41" t="s">
        <v>126</v>
      </c>
      <c r="K87" s="41"/>
      <c r="L87" s="41"/>
      <c r="M87" s="19">
        <v>308</v>
      </c>
      <c r="N87" s="41"/>
      <c r="O87" s="41" t="s">
        <v>609</v>
      </c>
      <c r="P87" s="19" t="s">
        <v>29</v>
      </c>
      <c r="Q87" s="40" t="s">
        <v>561</v>
      </c>
    </row>
    <row r="88" spans="1:17" x14ac:dyDescent="0.25">
      <c r="A88" s="45">
        <v>45597.863842592589</v>
      </c>
      <c r="B88" s="19" t="s">
        <v>735</v>
      </c>
      <c r="C88" s="41"/>
      <c r="D88" s="46">
        <v>76630175</v>
      </c>
      <c r="E88" s="19"/>
      <c r="F88" s="41"/>
      <c r="G88" s="50" t="s">
        <v>736</v>
      </c>
      <c r="H88" s="41" t="s">
        <v>21</v>
      </c>
      <c r="I88" s="19" t="str">
        <f>_xlfn.CONCAT(P88,CHAR(10),
       IF(AND(O88&lt;&gt;"", K88&lt;&gt;""),
          "Situación: " &amp; O88 &amp; CHAR(10) &amp; "Calificación: " &amp; K88 &amp; "%" &amp; CHAR(10),
          IF(O88&lt;&gt;"",
             "Situación: " &amp; O88 &amp; CHAR(10),
             IF(K88&lt;&gt;"",
                "Calificación: " &amp; K88 &amp; "%" &amp; CHAR(10),
                CHAR(10)))),
       "Meses: ", L88, CHAR(10),
       "Score: ", M88, CHAR(10),
       "Banco: ", N88
)</f>
        <v xml:space="preserve">El próximo año
Calificación: 20%
Meses: 6
Score: 364
Banco: </v>
      </c>
      <c r="J88" s="41" t="s">
        <v>156</v>
      </c>
      <c r="K88" s="41">
        <v>20</v>
      </c>
      <c r="L88" s="41">
        <v>6</v>
      </c>
      <c r="M88" s="19">
        <v>364</v>
      </c>
      <c r="N88" s="41"/>
      <c r="O88" s="41"/>
      <c r="P88" s="19" t="s">
        <v>34</v>
      </c>
      <c r="Q88" s="40" t="s">
        <v>561</v>
      </c>
    </row>
    <row r="89" spans="1:17" x14ac:dyDescent="0.25">
      <c r="A89" s="45">
        <v>45597.859340277777</v>
      </c>
      <c r="B89" s="19" t="s">
        <v>737</v>
      </c>
      <c r="C89" s="41"/>
      <c r="D89" s="46">
        <v>48221237</v>
      </c>
      <c r="E89" s="19"/>
      <c r="F89" s="41"/>
      <c r="G89" s="50" t="s">
        <v>738</v>
      </c>
      <c r="H89" s="41" t="s">
        <v>21</v>
      </c>
      <c r="I89" s="19" t="str">
        <f>_xlfn.CONCAT(P89,CHAR(10),
       IF(AND(O89&lt;&gt;"", K89&lt;&gt;""),
          "Situación: " &amp; O89 &amp; CHAR(10) &amp; "Calificación: " &amp; K89 &amp; "%" &amp; CHAR(10),
          IF(O89&lt;&gt;"",
             "Situación: " &amp; O89 &amp; CHAR(10),
             IF(K89&lt;&gt;"",
                "Calificación: " &amp; K89 &amp; "%" &amp; CHAR(10),
                CHAR(10)))),
       "Meses: ", L89, CHAR(10),
       "Score: ", M89, CHAR(10),
       "Banco: ", N89
)</f>
        <v xml:space="preserve">El próximo año
Calificación: 20%
Meses: 9
Score: 345
Banco: </v>
      </c>
      <c r="J89" s="41" t="s">
        <v>156</v>
      </c>
      <c r="K89" s="41">
        <v>20</v>
      </c>
      <c r="L89" s="41">
        <v>9</v>
      </c>
      <c r="M89" s="19">
        <v>345</v>
      </c>
      <c r="N89" s="41"/>
      <c r="O89" s="41"/>
      <c r="P89" s="19" t="s">
        <v>34</v>
      </c>
      <c r="Q89" s="40" t="s">
        <v>561</v>
      </c>
    </row>
    <row r="90" spans="1:17" x14ac:dyDescent="0.25">
      <c r="A90" s="45">
        <v>45597.824166666665</v>
      </c>
      <c r="B90" s="19" t="s">
        <v>739</v>
      </c>
      <c r="C90" s="41"/>
      <c r="D90" s="46">
        <v>48441505</v>
      </c>
      <c r="E90" s="19"/>
      <c r="F90" s="41"/>
      <c r="G90" s="50" t="s">
        <v>740</v>
      </c>
      <c r="H90" s="41" t="s">
        <v>727</v>
      </c>
      <c r="I90" s="19" t="str">
        <f>_xlfn.CONCAT(P90,CHAR(10),
       IF(AND(O90&lt;&gt;"", K90&lt;&gt;""),
          "Situación: " &amp; O90 &amp; CHAR(10) &amp; "Calificación: " &amp; K90 &amp; "%" &amp; CHAR(10),
          IF(O90&lt;&gt;"",
             "Situación: " &amp; O90 &amp; CHAR(10),
             IF(K90&lt;&gt;"",
                "Calificación: " &amp; K90 &amp; "%" &amp; CHAR(10),
                CHAR(10)))),
       "Meses: ", L90, CHAR(10),
       "Score: ", M90, CHAR(10),
       "Banco: ", N90
)</f>
        <v xml:space="preserve">Para diciembre de este año
Calificación: 10%
Meses: 6
Score: 407
Banco: </v>
      </c>
      <c r="J90" s="41" t="s">
        <v>156</v>
      </c>
      <c r="K90" s="41">
        <v>10</v>
      </c>
      <c r="L90" s="41">
        <v>6</v>
      </c>
      <c r="M90" s="19">
        <v>407</v>
      </c>
      <c r="N90" s="41"/>
      <c r="O90" s="41"/>
      <c r="P90" s="19" t="s">
        <v>22</v>
      </c>
      <c r="Q90" s="40" t="s">
        <v>561</v>
      </c>
    </row>
    <row r="91" spans="1:17" x14ac:dyDescent="0.25">
      <c r="A91" s="45">
        <v>45597</v>
      </c>
      <c r="B91" s="41" t="s">
        <v>741</v>
      </c>
      <c r="C91" s="41"/>
      <c r="D91" s="19">
        <v>47813735</v>
      </c>
      <c r="E91" s="19"/>
      <c r="F91" s="41"/>
      <c r="G91" s="18" t="s">
        <v>742</v>
      </c>
      <c r="H91" s="19"/>
      <c r="I91" s="19" t="str">
        <f>_xlfn.CONCAT(P91,CHAR(10),
       IF(AND(O91&lt;&gt;"", K91&lt;&gt;""),
          "Situación: " &amp; O91 &amp; CHAR(10) &amp; "Calificación: " &amp; K91 &amp; "%" &amp; CHAR(10),
          IF(O91&lt;&gt;"",
             "Situación: " &amp; O91 &amp; CHAR(10),
             IF(K91&lt;&gt;"",
                "Calificación: " &amp; K91 &amp; "%" &amp; CHAR(10),
                CHAR(10)))),
       "Meses: ", L91, CHAR(10),
       "Score: ", M91, CHAR(10),
       "Banco: ", N91
)</f>
        <v xml:space="preserve">El próximo año
Situación: MAL SBS
Meses: 
Score: 349
Banco: </v>
      </c>
      <c r="J91" s="41" t="s">
        <v>164</v>
      </c>
      <c r="K91" s="41"/>
      <c r="L91" s="41"/>
      <c r="M91" s="47">
        <v>349</v>
      </c>
      <c r="N91" s="41"/>
      <c r="O91" s="41" t="s">
        <v>590</v>
      </c>
      <c r="P91" s="19" t="s">
        <v>34</v>
      </c>
      <c r="Q91" s="40" t="s">
        <v>561</v>
      </c>
    </row>
    <row r="92" spans="1:17" x14ac:dyDescent="0.25">
      <c r="A92" s="45">
        <v>45597</v>
      </c>
      <c r="B92" s="41" t="s">
        <v>743</v>
      </c>
      <c r="C92" s="41"/>
      <c r="D92" s="19">
        <v>18040178</v>
      </c>
      <c r="E92" s="19"/>
      <c r="F92" s="41"/>
      <c r="G92" s="18" t="s">
        <v>744</v>
      </c>
      <c r="H92" s="19"/>
      <c r="I92" s="19" t="str">
        <f>_xlfn.CONCAT(P92,CHAR(10),
       IF(AND(O92&lt;&gt;"", K92&lt;&gt;""),
          "Situación: " &amp; O92 &amp; CHAR(10) &amp; "Calificación: " &amp; K92 &amp; "%" &amp; CHAR(10),
          IF(O92&lt;&gt;"",
             "Situación: " &amp; O92 &amp; CHAR(10),
             IF(K92&lt;&gt;"",
                "Calificación: " &amp; K92 &amp; "%" &amp; CHAR(10),
                CHAR(10)))),
       "Meses: ", L92, CHAR(10),
       "Score: ", M92, CHAR(10),
       "Banco: ", N92
)</f>
        <v xml:space="preserve">De WhatsApp
Situación: BAJO SCORE
Meses: 
Score: 293
Banco: </v>
      </c>
      <c r="J92" s="41" t="s">
        <v>126</v>
      </c>
      <c r="K92" s="41"/>
      <c r="L92" s="41"/>
      <c r="M92" s="47">
        <v>293</v>
      </c>
      <c r="N92" s="41"/>
      <c r="O92" s="41" t="s">
        <v>609</v>
      </c>
      <c r="P92" s="41" t="s">
        <v>568</v>
      </c>
      <c r="Q92" s="40" t="s">
        <v>561</v>
      </c>
    </row>
    <row r="93" spans="1:17" x14ac:dyDescent="0.25">
      <c r="A93" s="45">
        <v>45597</v>
      </c>
      <c r="B93" s="41" t="s">
        <v>745</v>
      </c>
      <c r="C93" s="41"/>
      <c r="D93" s="19">
        <v>73703606</v>
      </c>
      <c r="E93" s="19"/>
      <c r="F93" s="41"/>
      <c r="G93" s="18" t="s">
        <v>746</v>
      </c>
      <c r="H93" s="19"/>
      <c r="I93" s="19" t="str">
        <f>_xlfn.CONCAT(P93,CHAR(10),
       IF(AND(O93&lt;&gt;"", K93&lt;&gt;""),
          "Situación: " &amp; O93 &amp; CHAR(10) &amp; "Calificación: " &amp; K93 &amp; "%" &amp; CHAR(10),
          IF(O93&lt;&gt;"",
             "Situación: " &amp; O93 &amp; CHAR(10),
             IF(K93&lt;&gt;"",
                "Calificación: " &amp; K93 &amp; "%" &amp; CHAR(10),
                CHAR(10)))),
       "Meses: ", L93, CHAR(10),
       "Score: ", M93, CHAR(10),
       "Banco: ", N93
)</f>
        <v xml:space="preserve">Para diciembre de este año
Situación: BAJO SCORE
Meses: 
Score: 278
Banco: </v>
      </c>
      <c r="J93" s="41" t="s">
        <v>126</v>
      </c>
      <c r="K93" s="41"/>
      <c r="L93" s="41"/>
      <c r="M93" s="47">
        <v>278</v>
      </c>
      <c r="N93" s="41"/>
      <c r="O93" s="41" t="s">
        <v>609</v>
      </c>
      <c r="P93" s="19" t="s">
        <v>22</v>
      </c>
      <c r="Q93" s="40" t="s">
        <v>561</v>
      </c>
    </row>
    <row r="94" spans="1:17" x14ac:dyDescent="0.25">
      <c r="A94" s="45">
        <v>45597</v>
      </c>
      <c r="B94" s="41" t="s">
        <v>747</v>
      </c>
      <c r="C94" s="41"/>
      <c r="D94" s="19">
        <v>41806915</v>
      </c>
      <c r="E94" s="19"/>
      <c r="F94" s="41"/>
      <c r="G94" s="18" t="s">
        <v>748</v>
      </c>
      <c r="H94" s="19"/>
      <c r="I94" s="19" t="str">
        <f>_xlfn.CONCAT(P94,CHAR(10),
       IF(AND(O94&lt;&gt;"", K94&lt;&gt;""),
          "Situación: " &amp; O94 &amp; CHAR(10) &amp; "Calificación: " &amp; K94 &amp; "%" &amp; CHAR(10),
          IF(O94&lt;&gt;"",
             "Situación: " &amp; O94 &amp; CHAR(10),
             IF(K94&lt;&gt;"",
                "Calificación: " &amp; K94 &amp; "%" &amp; CHAR(10),
                CHAR(10)))),
       "Meses: ", L94, CHAR(10),
       "Score: ", M94, CHAR(10),
       "Banco: ", N94
)</f>
        <v xml:space="preserve">Para diciembre de este año
Calificación: 10%
Meses: 6
Score: 415
Banco: </v>
      </c>
      <c r="J94" s="41" t="s">
        <v>156</v>
      </c>
      <c r="K94" s="41">
        <v>10</v>
      </c>
      <c r="L94" s="41">
        <v>6</v>
      </c>
      <c r="M94" s="47">
        <v>415</v>
      </c>
      <c r="N94" s="41"/>
      <c r="O94" s="41"/>
      <c r="P94" s="19" t="s">
        <v>22</v>
      </c>
      <c r="Q94" s="40" t="s">
        <v>561</v>
      </c>
    </row>
    <row r="95" spans="1:17" x14ac:dyDescent="0.25">
      <c r="A95" s="45">
        <v>45597</v>
      </c>
      <c r="B95" s="41" t="s">
        <v>749</v>
      </c>
      <c r="C95" s="41"/>
      <c r="D95" s="19">
        <v>40467182</v>
      </c>
      <c r="E95" s="19"/>
      <c r="F95" s="41"/>
      <c r="G95" s="18" t="s">
        <v>750</v>
      </c>
      <c r="H95" s="19"/>
      <c r="I95" s="19" t="str">
        <f>_xlfn.CONCAT(P95,CHAR(10),
       IF(AND(O95&lt;&gt;"", K95&lt;&gt;""),
          "Situación: " &amp; O95 &amp; CHAR(10) &amp; "Calificación: " &amp; K95 &amp; "%" &amp; CHAR(10),
          IF(O95&lt;&gt;"",
             "Situación: " &amp; O95 &amp; CHAR(10),
             IF(K95&lt;&gt;"",
                "Calificación: " &amp; K95 &amp; "%" &amp; CHAR(10),
                CHAR(10)))),
       "Meses: ", L95, CHAR(10),
       "Score: ", M95, CHAR(10),
       "Banco: ", N95
)</f>
        <v xml:space="preserve">Para diciembre de este año
Calificación: 10%
Meses: 6
Score: 422
Banco: </v>
      </c>
      <c r="J95" s="41" t="s">
        <v>156</v>
      </c>
      <c r="K95" s="41">
        <v>10</v>
      </c>
      <c r="L95" s="41">
        <v>6</v>
      </c>
      <c r="M95" s="47">
        <v>422</v>
      </c>
      <c r="N95" s="41"/>
      <c r="O95" s="41"/>
      <c r="P95" s="19" t="s">
        <v>22</v>
      </c>
      <c r="Q95" s="40" t="s">
        <v>561</v>
      </c>
    </row>
    <row r="96" spans="1:17" x14ac:dyDescent="0.25">
      <c r="A96" s="45">
        <v>45597</v>
      </c>
      <c r="B96" s="41" t="s">
        <v>751</v>
      </c>
      <c r="C96" s="41"/>
      <c r="D96" s="19">
        <v>44178782</v>
      </c>
      <c r="E96" s="19"/>
      <c r="F96" s="41"/>
      <c r="G96" s="18" t="s">
        <v>752</v>
      </c>
      <c r="H96" s="19"/>
      <c r="I96" s="19" t="str">
        <f>_xlfn.CONCAT(P96,CHAR(10),
       IF(AND(O96&lt;&gt;"", K96&lt;&gt;""),
          "Situación: " &amp; O96 &amp; CHAR(10) &amp; "Calificación: " &amp; K96 &amp; "%" &amp; CHAR(10),
          IF(O96&lt;&gt;"",
             "Situación: " &amp; O96 &amp; CHAR(10),
             IF(K96&lt;&gt;"",
                "Calificación: " &amp; K96 &amp; "%" &amp; CHAR(10),
                CHAR(10)))),
       "Meses: ", L96, CHAR(10),
       "Score: ", M96, CHAR(10),
       "Banco: ", N96
)</f>
        <v xml:space="preserve">El próximo año
Calificación: 20%
Meses: 6
Score: 400
Banco: </v>
      </c>
      <c r="J96" s="41" t="s">
        <v>156</v>
      </c>
      <c r="K96" s="41">
        <v>20</v>
      </c>
      <c r="L96" s="41">
        <v>6</v>
      </c>
      <c r="M96" s="47">
        <v>400</v>
      </c>
      <c r="N96" s="41"/>
      <c r="O96" s="41"/>
      <c r="P96" s="19" t="s">
        <v>34</v>
      </c>
      <c r="Q96" s="40" t="s">
        <v>561</v>
      </c>
    </row>
    <row r="97" spans="1:17" x14ac:dyDescent="0.25">
      <c r="A97" s="45">
        <v>45597</v>
      </c>
      <c r="B97" s="41" t="s">
        <v>753</v>
      </c>
      <c r="C97" s="41"/>
      <c r="D97" s="19">
        <v>40622342</v>
      </c>
      <c r="E97" s="19"/>
      <c r="F97" s="41"/>
      <c r="G97" s="18" t="s">
        <v>754</v>
      </c>
      <c r="H97" s="19"/>
      <c r="I97" s="19" t="str">
        <f>_xlfn.CONCAT(P97,CHAR(10),
       IF(AND(O97&lt;&gt;"", K97&lt;&gt;""),
          "Situación: " &amp; O97 &amp; CHAR(10) &amp; "Calificación: " &amp; K97 &amp; "%" &amp; CHAR(10),
          IF(O97&lt;&gt;"",
             "Situación: " &amp; O97 &amp; CHAR(10),
             IF(K97&lt;&gt;"",
                "Calificación: " &amp; K97 &amp; "%" &amp; CHAR(10),
                CHAR(10)))),
       "Meses: ", L97, CHAR(10),
       "Score: ", M97, CHAR(10),
       "Banco: ", N97
)</f>
        <v xml:space="preserve">El próximo año
Calificación: 10%
Meses: 6
Score: 459
Banco: </v>
      </c>
      <c r="J97" s="41" t="s">
        <v>156</v>
      </c>
      <c r="K97" s="41">
        <v>10</v>
      </c>
      <c r="L97" s="41">
        <v>6</v>
      </c>
      <c r="M97" s="47">
        <v>459</v>
      </c>
      <c r="N97" s="41"/>
      <c r="O97" s="41"/>
      <c r="P97" s="19" t="s">
        <v>34</v>
      </c>
      <c r="Q97" s="40" t="s">
        <v>561</v>
      </c>
    </row>
    <row r="98" spans="1:17" x14ac:dyDescent="0.25">
      <c r="A98" s="45">
        <v>45597</v>
      </c>
      <c r="B98" s="41" t="s">
        <v>755</v>
      </c>
      <c r="C98" s="41"/>
      <c r="D98" s="19">
        <v>76618204</v>
      </c>
      <c r="E98" s="19"/>
      <c r="F98" s="41"/>
      <c r="G98" s="18" t="s">
        <v>756</v>
      </c>
      <c r="H98" s="19"/>
      <c r="I98" s="19" t="str">
        <f>_xlfn.CONCAT(P98,CHAR(10),
       IF(AND(O98&lt;&gt;"", K98&lt;&gt;""),
          "Situación: " &amp; O98 &amp; CHAR(10) &amp; "Calificación: " &amp; K98 &amp; "%" &amp; CHAR(10),
          IF(O98&lt;&gt;"",
             "Situación: " &amp; O98 &amp; CHAR(10),
             IF(K98&lt;&gt;"",
                "Calificación: " &amp; K98 &amp; "%" &amp; CHAR(10),
                CHAR(10)))),
       "Meses: ", L98, CHAR(10),
       "Score: ", M98, CHAR(10),
       "Banco: ", N98
)</f>
        <v xml:space="preserve">El próximo año
Calificación: 10%
Meses: 6
Score: 436
Banco: </v>
      </c>
      <c r="J98" s="41" t="s">
        <v>156</v>
      </c>
      <c r="K98" s="41">
        <v>10</v>
      </c>
      <c r="L98" s="41">
        <v>6</v>
      </c>
      <c r="M98" s="47">
        <v>436</v>
      </c>
      <c r="N98" s="41"/>
      <c r="O98" s="41"/>
      <c r="P98" s="19" t="s">
        <v>34</v>
      </c>
      <c r="Q98" s="40" t="s">
        <v>561</v>
      </c>
    </row>
    <row r="99" spans="1:17" x14ac:dyDescent="0.25">
      <c r="A99" s="45">
        <v>45597</v>
      </c>
      <c r="B99" s="41" t="s">
        <v>757</v>
      </c>
      <c r="C99" s="41"/>
      <c r="D99" s="19">
        <v>71954384</v>
      </c>
      <c r="E99" s="19"/>
      <c r="F99" s="41"/>
      <c r="G99" s="18" t="s">
        <v>758</v>
      </c>
      <c r="H99" s="19"/>
      <c r="I99" s="19" t="str">
        <f>_xlfn.CONCAT(P99,CHAR(10),
       IF(AND(O99&lt;&gt;"", K99&lt;&gt;""),
          "Situación: " &amp; O99 &amp; CHAR(10) &amp; "Calificación: " &amp; K99 &amp; "%" &amp; CHAR(10),
          IF(O99&lt;&gt;"",
             "Situación: " &amp; O99 &amp; CHAR(10),
             IF(K99&lt;&gt;"",
                "Calificación: " &amp; K99 &amp; "%" &amp; CHAR(10),
                CHAR(10)))),
       "Meses: ", L99, CHAR(10),
       "Score: ", M99, CHAR(10),
       "Banco: ", N99
)</f>
        <v xml:space="preserve">Lo mas pronto
Calificación: 10%
Meses: 6
Score: 400
Banco: </v>
      </c>
      <c r="J99" s="41" t="s">
        <v>156</v>
      </c>
      <c r="K99" s="41">
        <v>10</v>
      </c>
      <c r="L99" s="41">
        <v>6</v>
      </c>
      <c r="M99" s="47">
        <v>400</v>
      </c>
      <c r="N99" s="41"/>
      <c r="O99" s="41"/>
      <c r="P99" s="19" t="s">
        <v>29</v>
      </c>
      <c r="Q99" s="40" t="s">
        <v>561</v>
      </c>
    </row>
    <row r="100" spans="1:17" x14ac:dyDescent="0.25">
      <c r="A100" s="45">
        <v>45597</v>
      </c>
      <c r="B100" s="19" t="s">
        <v>759</v>
      </c>
      <c r="C100" s="41"/>
      <c r="D100" s="46">
        <v>73304630</v>
      </c>
      <c r="E100" s="19"/>
      <c r="F100" s="41"/>
      <c r="G100" s="50" t="s">
        <v>760</v>
      </c>
      <c r="H100" s="19"/>
      <c r="I100" s="19" t="str">
        <f>_xlfn.CONCAT(P100,CHAR(10),
       IF(AND(O100&lt;&gt;"", K100&lt;&gt;""),
          "Situación: " &amp; O100 &amp; CHAR(10) &amp; "Calificación: " &amp; K100 &amp; "%" &amp; CHAR(10),
          IF(O100&lt;&gt;"",
             "Situación: " &amp; O100 &amp; CHAR(10),
             IF(K100&lt;&gt;"",
                "Calificación: " &amp; K100 &amp; "%" &amp; CHAR(10),
                CHAR(10)))),
       "Meses: ", L100, CHAR(10),
       "Score: ", M100, CHAR(10),
       "Banco: ", N100
)</f>
        <v xml:space="preserve">El próximo año
Calificación: 20%
Meses: 9
Score: 
Banco: </v>
      </c>
      <c r="J100" s="41"/>
      <c r="K100" s="41">
        <v>20</v>
      </c>
      <c r="L100" s="41">
        <v>9</v>
      </c>
      <c r="M100" s="41"/>
      <c r="N100" s="41"/>
      <c r="O100" s="41"/>
      <c r="P100" s="19" t="s">
        <v>34</v>
      </c>
      <c r="Q100" s="40" t="s">
        <v>561</v>
      </c>
    </row>
    <row r="101" spans="1:17" x14ac:dyDescent="0.25">
      <c r="A101" s="45">
        <v>45597</v>
      </c>
      <c r="B101" s="19" t="s">
        <v>761</v>
      </c>
      <c r="C101" s="41"/>
      <c r="D101" s="46">
        <v>73384491</v>
      </c>
      <c r="E101" s="19"/>
      <c r="F101" s="41"/>
      <c r="G101" s="50" t="s">
        <v>762</v>
      </c>
      <c r="H101" s="19"/>
      <c r="I101" s="19" t="str">
        <f>_xlfn.CONCAT(P101,CHAR(10),
       IF(AND(O101&lt;&gt;"", K101&lt;&gt;""),
          "Situación: " &amp; O101 &amp; CHAR(10) &amp; "Calificación: " &amp; K101 &amp; "%" &amp; CHAR(10),
          IF(O101&lt;&gt;"",
             "Situación: " &amp; O101 &amp; CHAR(10),
             IF(K101&lt;&gt;"",
                "Calificación: " &amp; K101 &amp; "%" &amp; CHAR(10),
                CHAR(10)))),
       "Meses: ", L101, CHAR(10),
       "Score: ", M101, CHAR(10),
       "Banco: ", N101
)</f>
        <v xml:space="preserve">El próximo año
Calificación: 20%
Meses: 6
Score: 
Banco: </v>
      </c>
      <c r="J101" s="41"/>
      <c r="K101" s="41">
        <v>20</v>
      </c>
      <c r="L101" s="41">
        <v>6</v>
      </c>
      <c r="M101" s="41"/>
      <c r="N101" s="41"/>
      <c r="O101" s="41"/>
      <c r="P101" s="19" t="s">
        <v>34</v>
      </c>
      <c r="Q101" s="40" t="s">
        <v>561</v>
      </c>
    </row>
    <row r="102" spans="1:17" x14ac:dyDescent="0.25">
      <c r="A102" s="45">
        <v>45597</v>
      </c>
      <c r="B102" s="19" t="s">
        <v>763</v>
      </c>
      <c r="C102" s="41"/>
      <c r="D102" s="46">
        <v>76602826</v>
      </c>
      <c r="E102" s="19"/>
      <c r="F102" s="41"/>
      <c r="G102" s="50" t="s">
        <v>764</v>
      </c>
      <c r="H102" s="19"/>
      <c r="I102" s="19" t="str">
        <f>_xlfn.CONCAT(P102,CHAR(10),
       IF(AND(O102&lt;&gt;"", K102&lt;&gt;""),
          "Situación: " &amp; O102 &amp; CHAR(10) &amp; "Calificación: " &amp; K102 &amp; "%" &amp; CHAR(10),
          IF(O102&lt;&gt;"",
             "Situación: " &amp; O102 &amp; CHAR(10),
             IF(K102&lt;&gt;"",
                "Calificación: " &amp; K102 &amp; "%" &amp; CHAR(10),
                CHAR(10)))),
       "Meses: ", L102, CHAR(10),
       "Score: ", M102, CHAR(10),
       "Banco: ", N102
)</f>
        <v xml:space="preserve">El próximo año
Calificación: 20%
Meses: 6
Score: 
Banco: </v>
      </c>
      <c r="J102" s="41"/>
      <c r="K102" s="41">
        <v>20</v>
      </c>
      <c r="L102" s="41">
        <v>6</v>
      </c>
      <c r="M102" s="41"/>
      <c r="N102" s="41"/>
      <c r="O102" s="41"/>
      <c r="P102" s="19" t="s">
        <v>34</v>
      </c>
      <c r="Q102" s="40" t="s">
        <v>561</v>
      </c>
    </row>
    <row r="103" spans="1:17" x14ac:dyDescent="0.25">
      <c r="A103" s="45">
        <v>45597</v>
      </c>
      <c r="B103" s="19" t="s">
        <v>765</v>
      </c>
      <c r="C103" s="41"/>
      <c r="D103" s="46">
        <v>32846007</v>
      </c>
      <c r="E103" s="19"/>
      <c r="F103" s="41"/>
      <c r="G103" s="50" t="s">
        <v>766</v>
      </c>
      <c r="H103" s="19"/>
      <c r="I103" s="19" t="str">
        <f>_xlfn.CONCAT(P103,CHAR(10),
       IF(AND(O103&lt;&gt;"", K103&lt;&gt;""),
          "Situación: " &amp; O103 &amp; CHAR(10) &amp; "Calificación: " &amp; K103 &amp; "%" &amp; CHAR(10),
          IF(O103&lt;&gt;"",
             "Situación: " &amp; O103 &amp; CHAR(10),
             IF(K103&lt;&gt;"",
                "Calificación: " &amp; K103 &amp; "%" &amp; CHAR(10),
                CHAR(10)))),
       "Meses: ", L103, CHAR(10),
       "Score: ", M103, CHAR(10),
       "Banco: ", N103
)</f>
        <v xml:space="preserve">Para diciembre de este año
Calificación: 10%
Meses: 6
Score: 
Banco: </v>
      </c>
      <c r="J103" s="41"/>
      <c r="K103" s="41">
        <v>10</v>
      </c>
      <c r="L103" s="41">
        <v>6</v>
      </c>
      <c r="M103" s="41"/>
      <c r="N103" s="41"/>
      <c r="O103" s="41"/>
      <c r="P103" s="19" t="s">
        <v>22</v>
      </c>
      <c r="Q103" s="40" t="s">
        <v>561</v>
      </c>
    </row>
    <row r="104" spans="1:17" x14ac:dyDescent="0.25">
      <c r="A104" s="45">
        <v>45597</v>
      </c>
      <c r="B104" s="19" t="s">
        <v>767</v>
      </c>
      <c r="C104" s="41"/>
      <c r="D104" s="46">
        <v>41891132</v>
      </c>
      <c r="E104" s="19"/>
      <c r="F104" s="41"/>
      <c r="G104" s="50" t="s">
        <v>768</v>
      </c>
      <c r="H104" s="19"/>
      <c r="I104" s="19" t="str">
        <f>_xlfn.CONCAT(P104,CHAR(10),
       IF(AND(O104&lt;&gt;"", K104&lt;&gt;""),
          "Situación: " &amp; O104 &amp; CHAR(10) &amp; "Calificación: " &amp; K104 &amp; "%" &amp; CHAR(10),
          IF(O104&lt;&gt;"",
             "Situación: " &amp; O104 &amp; CHAR(10),
             IF(K104&lt;&gt;"",
                "Calificación: " &amp; K104 &amp; "%" &amp; CHAR(10),
                CHAR(10)))),
       "Meses: ", L104, CHAR(10),
       "Score: ", M104, CHAR(10),
       "Banco: ", N104
)</f>
        <v xml:space="preserve">El próximo año
Situación: MAL SBS
Meses: 
Score: 
Banco: </v>
      </c>
      <c r="J104" s="41"/>
      <c r="K104" s="41"/>
      <c r="L104" s="41"/>
      <c r="M104" s="41"/>
      <c r="N104" s="41"/>
      <c r="O104" s="41" t="s">
        <v>590</v>
      </c>
      <c r="P104" s="19" t="s">
        <v>34</v>
      </c>
      <c r="Q104" s="40" t="s">
        <v>561</v>
      </c>
    </row>
    <row r="105" spans="1:17" x14ac:dyDescent="0.25">
      <c r="A105" s="45">
        <v>45597</v>
      </c>
      <c r="B105" s="19" t="s">
        <v>769</v>
      </c>
      <c r="C105" s="41"/>
      <c r="D105" s="46">
        <v>44177589</v>
      </c>
      <c r="E105" s="19"/>
      <c r="F105" s="41"/>
      <c r="G105" s="50" t="s">
        <v>770</v>
      </c>
      <c r="H105" s="19"/>
      <c r="I105" s="19" t="str">
        <f>_xlfn.CONCAT(P105,CHAR(10),
       IF(AND(O105&lt;&gt;"", K105&lt;&gt;""),
          "Situación: " &amp; O105 &amp; CHAR(10) &amp; "Calificación: " &amp; K105 &amp; "%" &amp; CHAR(10),
          IF(O105&lt;&gt;"",
             "Situación: " &amp; O105 &amp; CHAR(10),
             IF(K105&lt;&gt;"",
                "Calificación: " &amp; K105 &amp; "%" &amp; CHAR(10),
                CHAR(10)))),
       "Meses: ", L105, CHAR(10),
       "Score: ", M105, CHAR(10),
       "Banco: ", N105
)</f>
        <v xml:space="preserve">El próximo año
Situación: BAJO SCORE / MAL SBS
Meses: 
Score: 
Banco: </v>
      </c>
      <c r="J105" s="41"/>
      <c r="K105" s="41"/>
      <c r="L105" s="41"/>
      <c r="M105" s="41"/>
      <c r="N105" s="41"/>
      <c r="O105" s="41" t="s">
        <v>628</v>
      </c>
      <c r="P105" s="19" t="s">
        <v>34</v>
      </c>
      <c r="Q105" s="40" t="s">
        <v>561</v>
      </c>
    </row>
    <row r="106" spans="1:17" x14ac:dyDescent="0.25">
      <c r="A106" s="45">
        <v>45597</v>
      </c>
      <c r="B106" s="19" t="s">
        <v>771</v>
      </c>
      <c r="C106" s="41"/>
      <c r="D106" s="46">
        <v>17858930</v>
      </c>
      <c r="E106" s="19"/>
      <c r="F106" s="41"/>
      <c r="G106" s="50" t="s">
        <v>772</v>
      </c>
      <c r="H106" s="19"/>
      <c r="I106" s="19" t="str">
        <f>_xlfn.CONCAT(P106,CHAR(10),
       IF(AND(O106&lt;&gt;"", K106&lt;&gt;""),
          "Situación: " &amp; O106 &amp; CHAR(10) &amp; "Calificación: " &amp; K106 &amp; "%" &amp; CHAR(10),
          IF(O106&lt;&gt;"",
             "Situación: " &amp; O106 &amp; CHAR(10),
             IF(K106&lt;&gt;"",
                "Calificación: " &amp; K106 &amp; "%" &amp; CHAR(10),
                CHAR(10)))),
       "Meses: ", L106, CHAR(10),
       "Score: ", M106, CHAR(10),
       "Banco: ", N106
)</f>
        <v xml:space="preserve">Para diciembre de este año
Situación: BAJO SCORE / MAL SBS
Meses: 
Score: 
Banco: </v>
      </c>
      <c r="J106" s="41"/>
      <c r="K106" s="41"/>
      <c r="L106" s="41"/>
      <c r="M106" s="41"/>
      <c r="N106" s="41"/>
      <c r="O106" s="41" t="s">
        <v>628</v>
      </c>
      <c r="P106" s="19" t="s">
        <v>22</v>
      </c>
      <c r="Q106" s="40" t="s">
        <v>561</v>
      </c>
    </row>
    <row r="107" spans="1:17" x14ac:dyDescent="0.25">
      <c r="A107" s="45">
        <v>45597</v>
      </c>
      <c r="B107" s="19" t="s">
        <v>773</v>
      </c>
      <c r="C107" s="41"/>
      <c r="D107" s="46">
        <v>68599999</v>
      </c>
      <c r="E107" s="19"/>
      <c r="F107" s="41"/>
      <c r="G107" s="50" t="s">
        <v>774</v>
      </c>
      <c r="H107" s="19"/>
      <c r="I107" s="19" t="str">
        <f>_xlfn.CONCAT(P107,CHAR(10),
       IF(AND(O107&lt;&gt;"", K107&lt;&gt;""),
          "Situación: " &amp; O107 &amp; CHAR(10) &amp; "Calificación: " &amp; K107 &amp; "%" &amp; CHAR(10),
          IF(O107&lt;&gt;"",
             "Situación: " &amp; O107 &amp; CHAR(10),
             IF(K107&lt;&gt;"",
                "Calificación: " &amp; K107 &amp; "%" &amp; CHAR(10),
                CHAR(10)))),
       "Meses: ", L107, CHAR(10),
       "Score: ", M107, CHAR(10),
       "Banco: ", N107
)</f>
        <v xml:space="preserve">El próximo año
Situación: DNI NO VALIDO
Meses: 
Score: 
Banco: </v>
      </c>
      <c r="J107" s="41"/>
      <c r="K107" s="41"/>
      <c r="L107" s="41"/>
      <c r="M107" s="41"/>
      <c r="N107" s="41"/>
      <c r="O107" s="41" t="s">
        <v>401</v>
      </c>
      <c r="P107" s="19" t="s">
        <v>34</v>
      </c>
      <c r="Q107" s="40" t="s">
        <v>561</v>
      </c>
    </row>
    <row r="108" spans="1:17" x14ac:dyDescent="0.25">
      <c r="A108" s="45">
        <v>45596</v>
      </c>
      <c r="B108" s="41" t="s">
        <v>775</v>
      </c>
      <c r="C108" s="41"/>
      <c r="D108" s="19">
        <v>17815936</v>
      </c>
      <c r="E108" s="19"/>
      <c r="F108" s="41"/>
      <c r="G108" s="18" t="s">
        <v>776</v>
      </c>
      <c r="H108" s="19"/>
      <c r="I108" s="19" t="str">
        <f>_xlfn.CONCAT(P108,CHAR(10),
       IF(AND(O108&lt;&gt;"", K108&lt;&gt;""),
          "Situación: " &amp; O108 &amp; CHAR(10) &amp; "Calificación: " &amp; K108 &amp; "%" &amp; CHAR(10),
          IF(O108&lt;&gt;"",
             "Situación: " &amp; O108 &amp; CHAR(10),
             IF(K108&lt;&gt;"",
                "Calificación: " &amp; K108 &amp; "%" &amp; CHAR(10),
                CHAR(10)))),
       "Meses: ", L108, CHAR(10),
       "Score: ", M108, CHAR(10),
       "Banco: ", N108
)</f>
        <v xml:space="preserve">De WhatsApp
Situación: MAL SBS
Meses: 
Score: 416
Banco: </v>
      </c>
      <c r="J108" s="41" t="s">
        <v>164</v>
      </c>
      <c r="K108" s="41"/>
      <c r="L108" s="41"/>
      <c r="M108" s="47">
        <v>416</v>
      </c>
      <c r="N108" s="41"/>
      <c r="O108" s="41" t="s">
        <v>590</v>
      </c>
      <c r="P108" s="41" t="s">
        <v>568</v>
      </c>
      <c r="Q108" s="40" t="s">
        <v>561</v>
      </c>
    </row>
    <row r="109" spans="1:17" x14ac:dyDescent="0.25">
      <c r="A109" s="45">
        <v>45596</v>
      </c>
      <c r="B109" s="41" t="s">
        <v>777</v>
      </c>
      <c r="C109" s="41"/>
      <c r="D109" s="19">
        <v>44774695</v>
      </c>
      <c r="E109" s="19"/>
      <c r="F109" s="41"/>
      <c r="G109" s="18" t="s">
        <v>778</v>
      </c>
      <c r="H109" s="19"/>
      <c r="I109" s="19" t="str">
        <f>_xlfn.CONCAT(P109,CHAR(10),
       IF(AND(O109&lt;&gt;"", K109&lt;&gt;""),
          "Situación: " &amp; O109 &amp; CHAR(10) &amp; "Calificación: " &amp; K109 &amp; "%" &amp; CHAR(10),
          IF(O109&lt;&gt;"",
             "Situación: " &amp; O109 &amp; CHAR(10),
             IF(K109&lt;&gt;"",
                "Calificación: " &amp; K109 &amp; "%" &amp; CHAR(10),
                CHAR(10)))),
       "Meses: ", L109, CHAR(10),
       "Score: ", M109, CHAR(10),
       "Banco: ", N109
)</f>
        <v xml:space="preserve">De WhatsApp
Situación: MAL SBS
Meses: 
Score: 344
Banco: </v>
      </c>
      <c r="J109" s="41" t="s">
        <v>164</v>
      </c>
      <c r="K109" s="41"/>
      <c r="L109" s="41"/>
      <c r="M109" s="47">
        <v>344</v>
      </c>
      <c r="N109" s="41"/>
      <c r="O109" s="41" t="s">
        <v>590</v>
      </c>
      <c r="P109" s="41" t="s">
        <v>568</v>
      </c>
      <c r="Q109" s="40" t="s">
        <v>561</v>
      </c>
    </row>
    <row r="110" spans="1:17" x14ac:dyDescent="0.25">
      <c r="A110" s="45">
        <v>45596</v>
      </c>
      <c r="B110" s="41" t="s">
        <v>779</v>
      </c>
      <c r="C110" s="41"/>
      <c r="D110" s="19">
        <v>18112920</v>
      </c>
      <c r="E110" s="19"/>
      <c r="F110" s="41"/>
      <c r="G110" s="18" t="s">
        <v>780</v>
      </c>
      <c r="H110" s="19"/>
      <c r="I110" s="19" t="str">
        <f>_xlfn.CONCAT(P110,CHAR(10),
       IF(AND(O110&lt;&gt;"", K110&lt;&gt;""),
          "Situación: " &amp; O110 &amp; CHAR(10) &amp; "Calificación: " &amp; K110 &amp; "%" &amp; CHAR(10),
          IF(O110&lt;&gt;"",
             "Situación: " &amp; O110 &amp; CHAR(10),
             IF(K110&lt;&gt;"",
                "Calificación: " &amp; K110 &amp; "%" &amp; CHAR(10),
                CHAR(10)))),
       "Meses: ", L110, CHAR(10),
       "Score: ", M110, CHAR(10),
       "Banco: ", N110
)</f>
        <v xml:space="preserve">De WhatsApp
Situación: BAJO SCORE
Meses: 
Score: 309
Banco: </v>
      </c>
      <c r="J110" s="41" t="s">
        <v>126</v>
      </c>
      <c r="K110" s="41"/>
      <c r="L110" s="41"/>
      <c r="M110" s="47">
        <v>309</v>
      </c>
      <c r="N110" s="41"/>
      <c r="O110" s="41" t="s">
        <v>609</v>
      </c>
      <c r="P110" s="41" t="s">
        <v>568</v>
      </c>
      <c r="Q110" s="40" t="s">
        <v>561</v>
      </c>
    </row>
    <row r="111" spans="1:17" x14ac:dyDescent="0.25">
      <c r="A111" s="45">
        <v>45596</v>
      </c>
      <c r="B111" s="41" t="s">
        <v>781</v>
      </c>
      <c r="C111" s="41"/>
      <c r="D111" s="19">
        <v>75114222</v>
      </c>
      <c r="E111" s="19"/>
      <c r="F111" s="41"/>
      <c r="G111" s="18" t="s">
        <v>782</v>
      </c>
      <c r="H111" s="19"/>
      <c r="I111" s="19" t="str">
        <f>_xlfn.CONCAT(P111,CHAR(10),
       IF(AND(O111&lt;&gt;"", K111&lt;&gt;""),
          "Situación: " &amp; O111 &amp; CHAR(10) &amp; "Calificación: " &amp; K111 &amp; "%" &amp; CHAR(10),
          IF(O111&lt;&gt;"",
             "Situación: " &amp; O111 &amp; CHAR(10),
             IF(K111&lt;&gt;"",
                "Calificación: " &amp; K111 &amp; "%" &amp; CHAR(10),
                CHAR(10)))),
       "Meses: ", L111, CHAR(10),
       "Score: ", M111, CHAR(10),
       "Banco: ", N111
)</f>
        <v xml:space="preserve">De WhatsApp
Situación: BAJO SCORE
Meses: 
Score: 305
Banco: </v>
      </c>
      <c r="J111" s="41" t="s">
        <v>126</v>
      </c>
      <c r="K111" s="41"/>
      <c r="L111" s="41"/>
      <c r="M111" s="47">
        <v>305</v>
      </c>
      <c r="N111" s="41"/>
      <c r="O111" s="41" t="s">
        <v>609</v>
      </c>
      <c r="P111" s="41" t="s">
        <v>568</v>
      </c>
      <c r="Q111" s="40" t="s">
        <v>561</v>
      </c>
    </row>
    <row r="112" spans="1:17" x14ac:dyDescent="0.25">
      <c r="A112" s="45">
        <v>45596</v>
      </c>
      <c r="B112" s="41" t="s">
        <v>783</v>
      </c>
      <c r="C112" s="41"/>
      <c r="D112" s="19">
        <v>18111167</v>
      </c>
      <c r="E112" s="19"/>
      <c r="F112" s="41"/>
      <c r="G112" s="18" t="s">
        <v>784</v>
      </c>
      <c r="H112" s="19"/>
      <c r="I112" s="19" t="str">
        <f>_xlfn.CONCAT(P112,CHAR(10),
       IF(AND(O112&lt;&gt;"", K112&lt;&gt;""),
          "Situación: " &amp; O112 &amp; CHAR(10) &amp; "Calificación: " &amp; K112 &amp; "%" &amp; CHAR(10),
          IF(O112&lt;&gt;"",
             "Situación: " &amp; O112 &amp; CHAR(10),
             IF(K112&lt;&gt;"",
                "Calificación: " &amp; K112 &amp; "%" &amp; CHAR(10),
                CHAR(10)))),
       "Meses: ", L112, CHAR(10),
       "Score: ", M112, CHAR(10),
       "Banco: ", N112
)</f>
        <v xml:space="preserve">De WhatsApp
Calificación: 20%
Meses: 9
Score: 356
Banco: </v>
      </c>
      <c r="J112" s="41" t="s">
        <v>156</v>
      </c>
      <c r="K112" s="41">
        <v>20</v>
      </c>
      <c r="L112" s="41">
        <v>9</v>
      </c>
      <c r="M112" s="47">
        <v>356</v>
      </c>
      <c r="N112" s="41"/>
      <c r="O112" s="41"/>
      <c r="P112" s="41" t="s">
        <v>568</v>
      </c>
      <c r="Q112" s="40" t="s">
        <v>561</v>
      </c>
    </row>
    <row r="113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6-14 nov</vt:lpstr>
      <vt:lpstr>1-5 nov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Elvin Córdova</dc:creator>
  <cp:lastModifiedBy>Elvin Córdova</cp:lastModifiedBy>
  <dcterms:created xsi:type="dcterms:W3CDTF">2024-11-16T01:58:57Z</dcterms:created>
  <dcterms:modified xsi:type="dcterms:W3CDTF">2024-11-16T02:35:10Z</dcterms:modified>
</cp:coreProperties>
</file>